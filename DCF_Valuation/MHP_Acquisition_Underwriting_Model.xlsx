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2)\"/>
    </mc:Choice>
  </mc:AlternateContent>
  <bookViews>
    <workbookView xWindow="0" yWindow="0" windowWidth="20490" windowHeight="7455" tabRatio="907" firstSheet="9" activeTab="15"/>
  </bookViews>
  <sheets>
    <sheet name="Investment Summary" sheetId="1" r:id="rId1"/>
    <sheet name="Rent Roll" sheetId="3" r:id="rId2"/>
    <sheet name="Revenue" sheetId="4" r:id="rId3"/>
    <sheet name="Operating Expenses" sheetId="5" r:id="rId4"/>
    <sheet name="CapEx" sheetId="6" r:id="rId5"/>
    <sheet name="Monthly Operations" sheetId="7" r:id="rId6"/>
    <sheet name="Debt Schedule" sheetId="9" r:id="rId7"/>
    <sheet name="Refinance" sheetId="10" r:id="rId8"/>
    <sheet name="Valuation" sheetId="11" r:id="rId9"/>
    <sheet name="Exit" sheetId="12" r:id="rId10"/>
    <sheet name="Acquisition" sheetId="8" r:id="rId11"/>
    <sheet name="Assumptions" sheetId="2" r:id="rId12"/>
    <sheet name="Equity Returns" sheetId="13" r:id="rId13"/>
    <sheet name="Equity Returns (2)" sheetId="20" r:id="rId14"/>
    <sheet name="Equity Returns (3)" sheetId="21" r:id="rId15"/>
    <sheet name="LP GP Waterfall" sheetId="14" r:id="rId16"/>
    <sheet name="Sensitivities" sheetId="15" state="hidden" r:id="rId17"/>
    <sheet name="Scenario Analysis" sheetId="16" r:id="rId18"/>
    <sheet name="BOV" sheetId="17" r:id="rId19"/>
    <sheet name="Checks" sheetId="18" r:id="rId20"/>
  </sheets>
  <definedNames>
    <definedName name="_xlnm._FilterDatabase" localSheetId="1" hidden="1">'Rent Roll'!$A$4:$L$4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4" l="1"/>
  <c r="B12" i="10"/>
  <c r="B5" i="14"/>
  <c r="L34" i="21" l="1"/>
  <c r="K34" i="21"/>
  <c r="J34" i="21"/>
  <c r="I34" i="21"/>
  <c r="H34" i="21"/>
  <c r="G34" i="21"/>
  <c r="F34" i="21"/>
  <c r="D34" i="21"/>
  <c r="C34" i="21"/>
  <c r="L33" i="21"/>
  <c r="K33" i="21"/>
  <c r="J33" i="21"/>
  <c r="I33" i="21"/>
  <c r="H33" i="21"/>
  <c r="G33" i="21"/>
  <c r="F33" i="21"/>
  <c r="D33" i="21"/>
  <c r="C33" i="21"/>
  <c r="L32" i="21"/>
  <c r="K32" i="21"/>
  <c r="J32" i="21"/>
  <c r="I32" i="21"/>
  <c r="H32" i="21"/>
  <c r="G32" i="21"/>
  <c r="F32" i="21"/>
  <c r="D32" i="21"/>
  <c r="C32" i="21"/>
  <c r="L31" i="21"/>
  <c r="K31" i="21"/>
  <c r="J31" i="21"/>
  <c r="I31" i="21"/>
  <c r="H31" i="21"/>
  <c r="G31" i="21"/>
  <c r="F31" i="21"/>
  <c r="D31" i="21"/>
  <c r="C31" i="21"/>
  <c r="L30" i="21"/>
  <c r="K30" i="21"/>
  <c r="J30" i="21"/>
  <c r="I30" i="21"/>
  <c r="H30" i="21"/>
  <c r="G30" i="21"/>
  <c r="F30" i="21"/>
  <c r="D30" i="21"/>
  <c r="C30" i="21"/>
  <c r="L29" i="21"/>
  <c r="K29" i="21"/>
  <c r="J29" i="21"/>
  <c r="I29" i="21"/>
  <c r="H29" i="21"/>
  <c r="G29" i="21"/>
  <c r="F29" i="21"/>
  <c r="D29" i="21"/>
  <c r="C29" i="21"/>
  <c r="L28" i="21"/>
  <c r="K28" i="21"/>
  <c r="J28" i="21"/>
  <c r="I28" i="21"/>
  <c r="H28" i="21"/>
  <c r="G28" i="21"/>
  <c r="F28" i="21"/>
  <c r="D28" i="21"/>
  <c r="C28" i="21"/>
  <c r="L27" i="21"/>
  <c r="K27" i="21"/>
  <c r="J27" i="21"/>
  <c r="I27" i="21"/>
  <c r="H27" i="21"/>
  <c r="G27" i="21"/>
  <c r="F27" i="21"/>
  <c r="D27" i="21"/>
  <c r="C27" i="21"/>
  <c r="L26" i="21"/>
  <c r="K26" i="21"/>
  <c r="J26" i="21"/>
  <c r="I26" i="21"/>
  <c r="H26" i="21"/>
  <c r="G26" i="21"/>
  <c r="F26" i="21"/>
  <c r="E26" i="21"/>
  <c r="D26" i="21"/>
  <c r="C26" i="21"/>
  <c r="L25" i="21"/>
  <c r="K25" i="21"/>
  <c r="J25" i="21"/>
  <c r="I25" i="21"/>
  <c r="H25" i="21"/>
  <c r="G25" i="21"/>
  <c r="F25" i="21"/>
  <c r="E25" i="21"/>
  <c r="D25" i="21"/>
  <c r="C25" i="21"/>
  <c r="C25" i="20"/>
  <c r="B34" i="21"/>
  <c r="B33" i="21"/>
  <c r="B32" i="21"/>
  <c r="B31" i="21"/>
  <c r="B30" i="21"/>
  <c r="B29" i="21"/>
  <c r="B28" i="21"/>
  <c r="B27" i="21"/>
  <c r="B26" i="21"/>
  <c r="B25" i="21"/>
  <c r="B20" i="21"/>
  <c r="C18" i="21"/>
  <c r="B15" i="21"/>
  <c r="L11" i="21"/>
  <c r="K11" i="21"/>
  <c r="H11" i="21"/>
  <c r="B10" i="21"/>
  <c r="B11" i="21" s="1"/>
  <c r="L9" i="21"/>
  <c r="K9" i="21"/>
  <c r="J9" i="21"/>
  <c r="J11" i="21" s="1"/>
  <c r="I9" i="21"/>
  <c r="I11" i="21" s="1"/>
  <c r="H9" i="21"/>
  <c r="G9" i="21"/>
  <c r="F9" i="21"/>
  <c r="E9" i="21"/>
  <c r="D9" i="21"/>
  <c r="C9" i="21"/>
  <c r="L8" i="21"/>
  <c r="K8" i="21"/>
  <c r="J8" i="21"/>
  <c r="I8" i="21"/>
  <c r="H8" i="21"/>
  <c r="G8" i="21"/>
  <c r="F8" i="21"/>
  <c r="D8" i="21"/>
  <c r="C8" i="21"/>
  <c r="H7" i="21"/>
  <c r="L6" i="21"/>
  <c r="K6" i="21"/>
  <c r="J6" i="21"/>
  <c r="I6" i="21"/>
  <c r="H6" i="21"/>
  <c r="G6" i="21"/>
  <c r="F6" i="21"/>
  <c r="E6" i="21"/>
  <c r="D6" i="21"/>
  <c r="C6" i="21"/>
  <c r="L5" i="21"/>
  <c r="L7" i="21" s="1"/>
  <c r="K5" i="21"/>
  <c r="K7" i="21" s="1"/>
  <c r="J5" i="21"/>
  <c r="J7" i="21" s="1"/>
  <c r="I5" i="21"/>
  <c r="H5" i="21"/>
  <c r="G5" i="21"/>
  <c r="G7" i="21" s="1"/>
  <c r="F5" i="21"/>
  <c r="F7" i="21" s="1"/>
  <c r="E5" i="21"/>
  <c r="D5" i="21"/>
  <c r="D7" i="21" s="1"/>
  <c r="C5" i="21"/>
  <c r="C7" i="21" s="1"/>
  <c r="L33" i="20"/>
  <c r="L32" i="20"/>
  <c r="L31" i="20"/>
  <c r="L30" i="20"/>
  <c r="L29" i="20"/>
  <c r="L28" i="20"/>
  <c r="L27" i="20"/>
  <c r="L26" i="20"/>
  <c r="L25" i="20"/>
  <c r="K32" i="20"/>
  <c r="K31" i="20"/>
  <c r="K30" i="20"/>
  <c r="K29" i="20"/>
  <c r="K28" i="20"/>
  <c r="K27" i="20"/>
  <c r="K26" i="20"/>
  <c r="K25" i="20"/>
  <c r="J31" i="20"/>
  <c r="J30" i="20"/>
  <c r="J29" i="20"/>
  <c r="J28" i="20"/>
  <c r="J27" i="20"/>
  <c r="J26" i="20"/>
  <c r="J25" i="20"/>
  <c r="I33" i="20"/>
  <c r="I30" i="20"/>
  <c r="I29" i="20"/>
  <c r="I28" i="20"/>
  <c r="I27" i="20"/>
  <c r="I26" i="20"/>
  <c r="I25" i="20"/>
  <c r="H29" i="20"/>
  <c r="H28" i="20"/>
  <c r="H27" i="20"/>
  <c r="H26" i="20"/>
  <c r="H25" i="20"/>
  <c r="G28" i="20"/>
  <c r="G27" i="20"/>
  <c r="G26" i="20"/>
  <c r="G25" i="20"/>
  <c r="F27" i="20"/>
  <c r="F26" i="20"/>
  <c r="E26" i="20"/>
  <c r="F25" i="20"/>
  <c r="E25" i="20"/>
  <c r="D25" i="20"/>
  <c r="L21" i="12"/>
  <c r="L19" i="12"/>
  <c r="B34" i="20"/>
  <c r="B33" i="20"/>
  <c r="B32" i="20"/>
  <c r="B31" i="20"/>
  <c r="B30" i="20"/>
  <c r="B29" i="20"/>
  <c r="B28" i="20"/>
  <c r="B27" i="20"/>
  <c r="B26" i="20"/>
  <c r="B25" i="20"/>
  <c r="B20" i="20"/>
  <c r="C18" i="20"/>
  <c r="B15" i="20"/>
  <c r="B11" i="20"/>
  <c r="B10" i="20"/>
  <c r="L9" i="20"/>
  <c r="L11" i="20" s="1"/>
  <c r="K9" i="20"/>
  <c r="K11" i="20" s="1"/>
  <c r="J9" i="20"/>
  <c r="J11" i="20" s="1"/>
  <c r="I9" i="20"/>
  <c r="I11" i="20" s="1"/>
  <c r="H9" i="20"/>
  <c r="H11" i="20" s="1"/>
  <c r="G9" i="20"/>
  <c r="F9" i="20"/>
  <c r="E9" i="20"/>
  <c r="D9" i="20"/>
  <c r="C9" i="20"/>
  <c r="L8" i="20"/>
  <c r="K8" i="20"/>
  <c r="J8" i="20"/>
  <c r="I8" i="20"/>
  <c r="H8" i="20"/>
  <c r="G8" i="20"/>
  <c r="F8" i="20"/>
  <c r="D8" i="20"/>
  <c r="C8" i="20"/>
  <c r="L6" i="20"/>
  <c r="K6" i="20"/>
  <c r="J6" i="20"/>
  <c r="I6" i="20"/>
  <c r="H6" i="20"/>
  <c r="G6" i="20"/>
  <c r="F6" i="20"/>
  <c r="E6" i="20"/>
  <c r="D6" i="20"/>
  <c r="C6" i="20"/>
  <c r="L5" i="20"/>
  <c r="L7" i="20" s="1"/>
  <c r="L34" i="20" s="1"/>
  <c r="K5" i="20"/>
  <c r="J5" i="20"/>
  <c r="I5" i="20"/>
  <c r="I7" i="20" s="1"/>
  <c r="I32" i="20" s="1"/>
  <c r="H5" i="20"/>
  <c r="H7" i="20" s="1"/>
  <c r="H34" i="20" s="1"/>
  <c r="G5" i="20"/>
  <c r="F5" i="20"/>
  <c r="E5" i="20"/>
  <c r="E7" i="20" s="1"/>
  <c r="D5" i="20"/>
  <c r="D7" i="20" s="1"/>
  <c r="D34" i="20" s="1"/>
  <c r="C5" i="20"/>
  <c r="C25" i="13"/>
  <c r="C26" i="13"/>
  <c r="C27" i="13"/>
  <c r="C28" i="13"/>
  <c r="C29" i="13"/>
  <c r="C30" i="13"/>
  <c r="C31" i="13"/>
  <c r="C32" i="13"/>
  <c r="C33" i="13"/>
  <c r="C24" i="13"/>
  <c r="D24" i="13"/>
  <c r="E24" i="13"/>
  <c r="F24" i="13"/>
  <c r="G24" i="13"/>
  <c r="H24" i="13"/>
  <c r="I24" i="13"/>
  <c r="J24" i="13"/>
  <c r="K24" i="13"/>
  <c r="L24" i="13"/>
  <c r="D26" i="13"/>
  <c r="C18" i="13"/>
  <c r="E25" i="13"/>
  <c r="F25" i="13"/>
  <c r="G25" i="13"/>
  <c r="H25" i="13"/>
  <c r="I25" i="13"/>
  <c r="J25" i="13"/>
  <c r="K25" i="13"/>
  <c r="L25" i="13"/>
  <c r="F26" i="13"/>
  <c r="G26" i="13"/>
  <c r="H26" i="13"/>
  <c r="I26" i="13"/>
  <c r="J26" i="13"/>
  <c r="K26" i="13"/>
  <c r="L26" i="13"/>
  <c r="G27" i="13"/>
  <c r="H27" i="13"/>
  <c r="I27" i="13"/>
  <c r="J27" i="13"/>
  <c r="K27" i="13"/>
  <c r="L27" i="13"/>
  <c r="H28" i="13"/>
  <c r="I28" i="13"/>
  <c r="J28" i="13"/>
  <c r="K28" i="13"/>
  <c r="L28" i="13"/>
  <c r="I29" i="13"/>
  <c r="J29" i="13"/>
  <c r="K29" i="13"/>
  <c r="L29" i="13"/>
  <c r="J30" i="13"/>
  <c r="K30" i="13"/>
  <c r="L30" i="13"/>
  <c r="K31" i="13"/>
  <c r="L31" i="13"/>
  <c r="L32" i="13"/>
  <c r="C8" i="13"/>
  <c r="B6" i="12"/>
  <c r="D8" i="13"/>
  <c r="F8" i="13"/>
  <c r="G8" i="13"/>
  <c r="H8" i="13"/>
  <c r="I8" i="13"/>
  <c r="J8" i="13"/>
  <c r="K8" i="13"/>
  <c r="L8" i="13"/>
  <c r="G11" i="21" l="1"/>
  <c r="C11" i="21"/>
  <c r="D11" i="21"/>
  <c r="F11" i="21"/>
  <c r="E7" i="21"/>
  <c r="B19" i="21" s="1"/>
  <c r="I7" i="21"/>
  <c r="B12" i="21"/>
  <c r="N25" i="21"/>
  <c r="D31" i="20"/>
  <c r="D26" i="20"/>
  <c r="D32" i="20"/>
  <c r="H32" i="20"/>
  <c r="D29" i="20"/>
  <c r="D33" i="20"/>
  <c r="H33" i="20"/>
  <c r="I31" i="20"/>
  <c r="D27" i="20"/>
  <c r="H31" i="20"/>
  <c r="D28" i="20"/>
  <c r="I34" i="20"/>
  <c r="D30" i="20"/>
  <c r="H30" i="20"/>
  <c r="F7" i="20"/>
  <c r="F11" i="20" s="1"/>
  <c r="J7" i="20"/>
  <c r="C7" i="20"/>
  <c r="G7" i="20"/>
  <c r="K7" i="20"/>
  <c r="C11" i="20"/>
  <c r="D11" i="20"/>
  <c r="B12" i="20"/>
  <c r="C12" i="21" l="1"/>
  <c r="D12" i="21" s="1"/>
  <c r="P25" i="21"/>
  <c r="O25" i="21"/>
  <c r="P26" i="21"/>
  <c r="O26" i="21"/>
  <c r="N26" i="21"/>
  <c r="G32" i="20"/>
  <c r="G30" i="20"/>
  <c r="G33" i="20"/>
  <c r="G31" i="20"/>
  <c r="G34" i="20"/>
  <c r="G29" i="20"/>
  <c r="C33" i="20"/>
  <c r="C29" i="20"/>
  <c r="O25" i="20"/>
  <c r="C31" i="20"/>
  <c r="C30" i="20"/>
  <c r="C32" i="20"/>
  <c r="C28" i="20"/>
  <c r="C27" i="20"/>
  <c r="C34" i="20"/>
  <c r="C26" i="20"/>
  <c r="O26" i="20" s="1"/>
  <c r="K34" i="20"/>
  <c r="K33" i="20"/>
  <c r="F34" i="20"/>
  <c r="F30" i="20"/>
  <c r="F28" i="20"/>
  <c r="F33" i="20"/>
  <c r="F29" i="20"/>
  <c r="F32" i="20"/>
  <c r="F31" i="20"/>
  <c r="C12" i="20"/>
  <c r="D12" i="20" s="1"/>
  <c r="J34" i="20"/>
  <c r="J32" i="20"/>
  <c r="J33" i="20"/>
  <c r="B19" i="20"/>
  <c r="G11" i="20"/>
  <c r="P26" i="20" l="1"/>
  <c r="P25" i="20"/>
  <c r="N25" i="20"/>
  <c r="N26" i="20"/>
  <c r="D16" i="9" l="1"/>
  <c r="D14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D6" i="9" l="1"/>
  <c r="B6" i="8"/>
  <c r="D5" i="7" l="1"/>
  <c r="D5" i="3" l="1"/>
  <c r="D7" i="3"/>
  <c r="D8" i="3"/>
  <c r="D9" i="3"/>
  <c r="D10" i="3"/>
  <c r="D11" i="3"/>
  <c r="D12" i="3"/>
  <c r="D13" i="3"/>
  <c r="M16" i="14" l="1"/>
  <c r="N13" i="14"/>
  <c r="D6" i="7" l="1"/>
  <c r="E3" i="7"/>
  <c r="D3" i="7"/>
  <c r="B8" i="2"/>
  <c r="C11" i="18"/>
  <c r="B11" i="18"/>
  <c r="C10" i="18"/>
  <c r="B10" i="18"/>
  <c r="E12" i="17"/>
  <c r="B12" i="17"/>
  <c r="B11" i="17"/>
  <c r="B9" i="17"/>
  <c r="B8" i="17"/>
  <c r="B7" i="17"/>
  <c r="P22" i="16"/>
  <c r="D11" i="16"/>
  <c r="C11" i="16"/>
  <c r="B11" i="16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L66" i="15"/>
  <c r="H65" i="15"/>
  <c r="I63" i="15"/>
  <c r="I60" i="15"/>
  <c r="I54" i="15"/>
  <c r="K52" i="15"/>
  <c r="I45" i="15"/>
  <c r="K43" i="15"/>
  <c r="J41" i="15"/>
  <c r="H34" i="15"/>
  <c r="L31" i="15"/>
  <c r="L30" i="15"/>
  <c r="I30" i="15"/>
  <c r="I29" i="15"/>
  <c r="I22" i="15"/>
  <c r="L20" i="15"/>
  <c r="K20" i="15"/>
  <c r="J19" i="15"/>
  <c r="I19" i="15"/>
  <c r="H18" i="15"/>
  <c r="L12" i="15"/>
  <c r="K12" i="15"/>
  <c r="J11" i="15"/>
  <c r="I11" i="15"/>
  <c r="H10" i="15"/>
  <c r="L8" i="15"/>
  <c r="K8" i="15"/>
  <c r="J7" i="15"/>
  <c r="I7" i="15"/>
  <c r="H6" i="15"/>
  <c r="B20" i="13"/>
  <c r="I9" i="13"/>
  <c r="I11" i="13" s="1"/>
  <c r="H9" i="13"/>
  <c r="H11" i="13" s="1"/>
  <c r="B5" i="12"/>
  <c r="B7" i="10"/>
  <c r="B5" i="10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DQ6" i="7"/>
  <c r="DK6" i="7"/>
  <c r="DF6" i="7"/>
  <c r="DA6" i="7"/>
  <c r="CU6" i="7"/>
  <c r="CP6" i="7"/>
  <c r="CK6" i="7"/>
  <c r="CE6" i="7"/>
  <c r="BZ6" i="7"/>
  <c r="BU6" i="7"/>
  <c r="BO6" i="7"/>
  <c r="BJ6" i="7"/>
  <c r="BE6" i="7"/>
  <c r="AY6" i="7"/>
  <c r="AT6" i="7"/>
  <c r="AO6" i="7"/>
  <c r="AI6" i="7"/>
  <c r="AD6" i="7"/>
  <c r="Y6" i="7"/>
  <c r="S6" i="7"/>
  <c r="N6" i="7"/>
  <c r="I6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B11" i="6"/>
  <c r="B10" i="6"/>
  <c r="B9" i="6"/>
  <c r="B8" i="6"/>
  <c r="B7" i="6"/>
  <c r="B6" i="6"/>
  <c r="B5" i="6"/>
  <c r="B88" i="3"/>
  <c r="B87" i="3"/>
  <c r="K84" i="3"/>
  <c r="I84" i="3"/>
  <c r="E84" i="3"/>
  <c r="J84" i="3" s="1"/>
  <c r="D84" i="3"/>
  <c r="K83" i="3"/>
  <c r="I83" i="3"/>
  <c r="H83" i="3"/>
  <c r="E83" i="3"/>
  <c r="J83" i="3" s="1"/>
  <c r="D83" i="3"/>
  <c r="K82" i="3"/>
  <c r="I82" i="3"/>
  <c r="E82" i="3"/>
  <c r="J82" i="3" s="1"/>
  <c r="D82" i="3"/>
  <c r="K81" i="3"/>
  <c r="J81" i="3"/>
  <c r="I81" i="3"/>
  <c r="E81" i="3"/>
  <c r="H81" i="3" s="1"/>
  <c r="D81" i="3"/>
  <c r="K80" i="3"/>
  <c r="I80" i="3"/>
  <c r="H80" i="3"/>
  <c r="E80" i="3"/>
  <c r="J80" i="3" s="1"/>
  <c r="D80" i="3"/>
  <c r="K79" i="3"/>
  <c r="I79" i="3"/>
  <c r="H79" i="3"/>
  <c r="E79" i="3"/>
  <c r="J79" i="3" s="1"/>
  <c r="D79" i="3"/>
  <c r="K78" i="3"/>
  <c r="I78" i="3"/>
  <c r="E78" i="3"/>
  <c r="J78" i="3" s="1"/>
  <c r="D78" i="3"/>
  <c r="K77" i="3"/>
  <c r="J77" i="3"/>
  <c r="I77" i="3"/>
  <c r="E77" i="3"/>
  <c r="H77" i="3" s="1"/>
  <c r="D77" i="3"/>
  <c r="K76" i="3"/>
  <c r="I76" i="3"/>
  <c r="H76" i="3"/>
  <c r="E76" i="3"/>
  <c r="J76" i="3" s="1"/>
  <c r="D76" i="3"/>
  <c r="K75" i="3"/>
  <c r="I75" i="3"/>
  <c r="H75" i="3"/>
  <c r="E75" i="3"/>
  <c r="J75" i="3" s="1"/>
  <c r="D75" i="3"/>
  <c r="K74" i="3"/>
  <c r="I74" i="3"/>
  <c r="E74" i="3"/>
  <c r="J74" i="3" s="1"/>
  <c r="D74" i="3"/>
  <c r="K73" i="3"/>
  <c r="J73" i="3"/>
  <c r="I73" i="3"/>
  <c r="E73" i="3"/>
  <c r="H73" i="3" s="1"/>
  <c r="D73" i="3"/>
  <c r="K72" i="3"/>
  <c r="I72" i="3"/>
  <c r="H72" i="3"/>
  <c r="E72" i="3"/>
  <c r="J72" i="3" s="1"/>
  <c r="D72" i="3"/>
  <c r="K71" i="3"/>
  <c r="I71" i="3"/>
  <c r="H71" i="3"/>
  <c r="E71" i="3"/>
  <c r="J71" i="3" s="1"/>
  <c r="D71" i="3"/>
  <c r="K70" i="3"/>
  <c r="I70" i="3"/>
  <c r="E70" i="3"/>
  <c r="J70" i="3" s="1"/>
  <c r="D70" i="3"/>
  <c r="K69" i="3"/>
  <c r="J69" i="3"/>
  <c r="I69" i="3"/>
  <c r="E69" i="3"/>
  <c r="H69" i="3" s="1"/>
  <c r="D69" i="3"/>
  <c r="K68" i="3"/>
  <c r="I68" i="3"/>
  <c r="H68" i="3"/>
  <c r="E68" i="3"/>
  <c r="J68" i="3" s="1"/>
  <c r="D68" i="3"/>
  <c r="K67" i="3"/>
  <c r="I67" i="3"/>
  <c r="H67" i="3"/>
  <c r="E67" i="3"/>
  <c r="J67" i="3" s="1"/>
  <c r="D67" i="3"/>
  <c r="K66" i="3"/>
  <c r="I66" i="3"/>
  <c r="E66" i="3"/>
  <c r="J66" i="3" s="1"/>
  <c r="D66" i="3"/>
  <c r="K65" i="3"/>
  <c r="J65" i="3"/>
  <c r="I65" i="3"/>
  <c r="E65" i="3"/>
  <c r="H65" i="3" s="1"/>
  <c r="D65" i="3"/>
  <c r="K64" i="3"/>
  <c r="J64" i="3"/>
  <c r="H64" i="3"/>
  <c r="E64" i="3"/>
  <c r="D64" i="3"/>
  <c r="I64" i="3" s="1"/>
  <c r="K63" i="3"/>
  <c r="J63" i="3"/>
  <c r="H63" i="3"/>
  <c r="E63" i="3"/>
  <c r="D63" i="3"/>
  <c r="I63" i="3" s="1"/>
  <c r="K62" i="3"/>
  <c r="J62" i="3"/>
  <c r="E62" i="3"/>
  <c r="H62" i="3" s="1"/>
  <c r="D62" i="3"/>
  <c r="I62" i="3" s="1"/>
  <c r="K61" i="3"/>
  <c r="J61" i="3"/>
  <c r="E61" i="3"/>
  <c r="H61" i="3" s="1"/>
  <c r="D61" i="3"/>
  <c r="I61" i="3" s="1"/>
  <c r="K60" i="3"/>
  <c r="J60" i="3"/>
  <c r="H60" i="3"/>
  <c r="E60" i="3"/>
  <c r="D60" i="3"/>
  <c r="I60" i="3" s="1"/>
  <c r="K59" i="3"/>
  <c r="J59" i="3"/>
  <c r="H59" i="3"/>
  <c r="E59" i="3"/>
  <c r="D59" i="3"/>
  <c r="I59" i="3" s="1"/>
  <c r="K58" i="3"/>
  <c r="J58" i="3"/>
  <c r="E58" i="3"/>
  <c r="H58" i="3" s="1"/>
  <c r="D58" i="3"/>
  <c r="I58" i="3" s="1"/>
  <c r="K57" i="3"/>
  <c r="J57" i="3"/>
  <c r="E57" i="3"/>
  <c r="H57" i="3" s="1"/>
  <c r="D57" i="3"/>
  <c r="I57" i="3" s="1"/>
  <c r="K56" i="3"/>
  <c r="J56" i="3"/>
  <c r="H56" i="3"/>
  <c r="E56" i="3"/>
  <c r="D56" i="3"/>
  <c r="I56" i="3" s="1"/>
  <c r="K55" i="3"/>
  <c r="J55" i="3"/>
  <c r="H55" i="3"/>
  <c r="E55" i="3"/>
  <c r="D55" i="3"/>
  <c r="I55" i="3" s="1"/>
  <c r="K54" i="3"/>
  <c r="J54" i="3"/>
  <c r="E54" i="3"/>
  <c r="H54" i="3" s="1"/>
  <c r="D54" i="3"/>
  <c r="I54" i="3" s="1"/>
  <c r="K53" i="3"/>
  <c r="J53" i="3"/>
  <c r="E53" i="3"/>
  <c r="H53" i="3" s="1"/>
  <c r="D53" i="3"/>
  <c r="I53" i="3" s="1"/>
  <c r="K52" i="3"/>
  <c r="J52" i="3"/>
  <c r="H52" i="3"/>
  <c r="E52" i="3"/>
  <c r="D52" i="3"/>
  <c r="I52" i="3" s="1"/>
  <c r="K51" i="3"/>
  <c r="J51" i="3"/>
  <c r="H51" i="3"/>
  <c r="E51" i="3"/>
  <c r="D51" i="3"/>
  <c r="I51" i="3" s="1"/>
  <c r="K50" i="3"/>
  <c r="J50" i="3"/>
  <c r="E50" i="3"/>
  <c r="H50" i="3" s="1"/>
  <c r="D50" i="3"/>
  <c r="I50" i="3" s="1"/>
  <c r="K49" i="3"/>
  <c r="J49" i="3"/>
  <c r="E49" i="3"/>
  <c r="H49" i="3" s="1"/>
  <c r="D49" i="3"/>
  <c r="I49" i="3" s="1"/>
  <c r="K48" i="3"/>
  <c r="J48" i="3"/>
  <c r="H48" i="3"/>
  <c r="E48" i="3"/>
  <c r="D48" i="3"/>
  <c r="I48" i="3" s="1"/>
  <c r="K47" i="3"/>
  <c r="J47" i="3"/>
  <c r="H47" i="3"/>
  <c r="E47" i="3"/>
  <c r="D47" i="3"/>
  <c r="I47" i="3" s="1"/>
  <c r="K46" i="3"/>
  <c r="J46" i="3"/>
  <c r="E46" i="3"/>
  <c r="H46" i="3" s="1"/>
  <c r="D46" i="3"/>
  <c r="I46" i="3" s="1"/>
  <c r="K45" i="3"/>
  <c r="J45" i="3"/>
  <c r="E45" i="3"/>
  <c r="H45" i="3" s="1"/>
  <c r="D45" i="3"/>
  <c r="I45" i="3" s="1"/>
  <c r="K44" i="3"/>
  <c r="J44" i="3"/>
  <c r="H44" i="3"/>
  <c r="E44" i="3"/>
  <c r="D44" i="3"/>
  <c r="I44" i="3" s="1"/>
  <c r="K43" i="3"/>
  <c r="J43" i="3"/>
  <c r="H43" i="3"/>
  <c r="E43" i="3"/>
  <c r="D43" i="3"/>
  <c r="I43" i="3" s="1"/>
  <c r="K42" i="3"/>
  <c r="J42" i="3"/>
  <c r="E42" i="3"/>
  <c r="H42" i="3" s="1"/>
  <c r="D42" i="3"/>
  <c r="I42" i="3" s="1"/>
  <c r="K41" i="3"/>
  <c r="J41" i="3"/>
  <c r="E41" i="3"/>
  <c r="H41" i="3" s="1"/>
  <c r="D41" i="3"/>
  <c r="I41" i="3" s="1"/>
  <c r="K40" i="3"/>
  <c r="J40" i="3"/>
  <c r="H40" i="3"/>
  <c r="E40" i="3"/>
  <c r="D40" i="3"/>
  <c r="I40" i="3" s="1"/>
  <c r="K39" i="3"/>
  <c r="J39" i="3"/>
  <c r="H39" i="3"/>
  <c r="E39" i="3"/>
  <c r="D39" i="3"/>
  <c r="I39" i="3" s="1"/>
  <c r="K38" i="3"/>
  <c r="J38" i="3"/>
  <c r="E38" i="3"/>
  <c r="H38" i="3" s="1"/>
  <c r="D38" i="3"/>
  <c r="I38" i="3" s="1"/>
  <c r="K37" i="3"/>
  <c r="J37" i="3"/>
  <c r="E37" i="3"/>
  <c r="H37" i="3" s="1"/>
  <c r="D37" i="3"/>
  <c r="I37" i="3" s="1"/>
  <c r="K36" i="3"/>
  <c r="J36" i="3"/>
  <c r="H36" i="3"/>
  <c r="E36" i="3"/>
  <c r="D36" i="3"/>
  <c r="I36" i="3" s="1"/>
  <c r="K35" i="3"/>
  <c r="J35" i="3"/>
  <c r="H35" i="3"/>
  <c r="E35" i="3"/>
  <c r="D35" i="3"/>
  <c r="I35" i="3" s="1"/>
  <c r="K34" i="3"/>
  <c r="J34" i="3"/>
  <c r="E34" i="3"/>
  <c r="H34" i="3" s="1"/>
  <c r="D34" i="3"/>
  <c r="I34" i="3" s="1"/>
  <c r="K33" i="3"/>
  <c r="J33" i="3"/>
  <c r="E33" i="3"/>
  <c r="H33" i="3" s="1"/>
  <c r="D33" i="3"/>
  <c r="I33" i="3" s="1"/>
  <c r="K32" i="3"/>
  <c r="J32" i="3"/>
  <c r="H32" i="3"/>
  <c r="E32" i="3"/>
  <c r="D32" i="3"/>
  <c r="I32" i="3" s="1"/>
  <c r="K31" i="3"/>
  <c r="J31" i="3"/>
  <c r="H31" i="3"/>
  <c r="E31" i="3"/>
  <c r="D31" i="3"/>
  <c r="I31" i="3" s="1"/>
  <c r="K30" i="3"/>
  <c r="J30" i="3"/>
  <c r="E30" i="3"/>
  <c r="H30" i="3" s="1"/>
  <c r="D30" i="3"/>
  <c r="I30" i="3" s="1"/>
  <c r="K29" i="3"/>
  <c r="J29" i="3"/>
  <c r="E29" i="3"/>
  <c r="H29" i="3" s="1"/>
  <c r="D29" i="3"/>
  <c r="I29" i="3" s="1"/>
  <c r="K28" i="3"/>
  <c r="J28" i="3"/>
  <c r="H28" i="3"/>
  <c r="E28" i="3"/>
  <c r="D28" i="3"/>
  <c r="I28" i="3" s="1"/>
  <c r="K27" i="3"/>
  <c r="J27" i="3"/>
  <c r="H27" i="3"/>
  <c r="E27" i="3"/>
  <c r="D27" i="3"/>
  <c r="I27" i="3" s="1"/>
  <c r="K26" i="3"/>
  <c r="J26" i="3"/>
  <c r="E26" i="3"/>
  <c r="H26" i="3" s="1"/>
  <c r="D26" i="3"/>
  <c r="I26" i="3" s="1"/>
  <c r="K25" i="3"/>
  <c r="J25" i="3"/>
  <c r="E25" i="3"/>
  <c r="H25" i="3" s="1"/>
  <c r="D25" i="3"/>
  <c r="I25" i="3" s="1"/>
  <c r="K24" i="3"/>
  <c r="J24" i="3"/>
  <c r="I24" i="3"/>
  <c r="H24" i="3"/>
  <c r="E24" i="3"/>
  <c r="D24" i="3"/>
  <c r="K23" i="3"/>
  <c r="J23" i="3"/>
  <c r="H23" i="3"/>
  <c r="E23" i="3"/>
  <c r="D23" i="3"/>
  <c r="I23" i="3" s="1"/>
  <c r="K22" i="3"/>
  <c r="J22" i="3"/>
  <c r="E22" i="3"/>
  <c r="H22" i="3" s="1"/>
  <c r="D22" i="3"/>
  <c r="I22" i="3" s="1"/>
  <c r="K21" i="3"/>
  <c r="J21" i="3"/>
  <c r="E21" i="3"/>
  <c r="H21" i="3" s="1"/>
  <c r="D21" i="3"/>
  <c r="I21" i="3" s="1"/>
  <c r="K20" i="3"/>
  <c r="J20" i="3"/>
  <c r="H20" i="3"/>
  <c r="E20" i="3"/>
  <c r="D20" i="3"/>
  <c r="I20" i="3" s="1"/>
  <c r="K19" i="3"/>
  <c r="J19" i="3"/>
  <c r="H19" i="3"/>
  <c r="E19" i="3"/>
  <c r="D19" i="3"/>
  <c r="I19" i="3" s="1"/>
  <c r="K18" i="3"/>
  <c r="J18" i="3"/>
  <c r="E18" i="3"/>
  <c r="H18" i="3" s="1"/>
  <c r="D18" i="3"/>
  <c r="I18" i="3" s="1"/>
  <c r="K17" i="3"/>
  <c r="J17" i="3"/>
  <c r="E17" i="3"/>
  <c r="H17" i="3" s="1"/>
  <c r="D17" i="3"/>
  <c r="I17" i="3" s="1"/>
  <c r="K16" i="3"/>
  <c r="J16" i="3"/>
  <c r="H16" i="3"/>
  <c r="E16" i="3"/>
  <c r="D16" i="3"/>
  <c r="I16" i="3" s="1"/>
  <c r="K15" i="3"/>
  <c r="J15" i="3"/>
  <c r="H15" i="3"/>
  <c r="E15" i="3"/>
  <c r="D15" i="3"/>
  <c r="I15" i="3" s="1"/>
  <c r="K14" i="3"/>
  <c r="J14" i="3"/>
  <c r="E14" i="3"/>
  <c r="H14" i="3" s="1"/>
  <c r="D14" i="3"/>
  <c r="I14" i="3" s="1"/>
  <c r="K13" i="3"/>
  <c r="J13" i="3"/>
  <c r="E13" i="3"/>
  <c r="H13" i="3" s="1"/>
  <c r="I13" i="3"/>
  <c r="K12" i="3"/>
  <c r="J12" i="3"/>
  <c r="H12" i="3"/>
  <c r="E12" i="3"/>
  <c r="I12" i="3"/>
  <c r="K11" i="3"/>
  <c r="J11" i="3"/>
  <c r="H11" i="3"/>
  <c r="E11" i="3"/>
  <c r="I11" i="3"/>
  <c r="K10" i="3"/>
  <c r="J10" i="3"/>
  <c r="E10" i="3"/>
  <c r="H10" i="3" s="1"/>
  <c r="I10" i="3"/>
  <c r="K9" i="3"/>
  <c r="J9" i="3"/>
  <c r="E9" i="3"/>
  <c r="H9" i="3" s="1"/>
  <c r="I9" i="3"/>
  <c r="K8" i="3"/>
  <c r="J8" i="3"/>
  <c r="H8" i="3"/>
  <c r="E8" i="3"/>
  <c r="I8" i="3"/>
  <c r="K7" i="3"/>
  <c r="J7" i="3"/>
  <c r="H7" i="3"/>
  <c r="E7" i="3"/>
  <c r="I7" i="3"/>
  <c r="K6" i="3"/>
  <c r="J6" i="3"/>
  <c r="E6" i="3"/>
  <c r="H6" i="3" s="1"/>
  <c r="D6" i="3"/>
  <c r="I6" i="3" s="1"/>
  <c r="K5" i="3"/>
  <c r="J5" i="3"/>
  <c r="E5" i="3"/>
  <c r="H5" i="3" s="1"/>
  <c r="I5" i="3"/>
  <c r="B89" i="2"/>
  <c r="B56" i="2"/>
  <c r="B21" i="2"/>
  <c r="B18" i="2"/>
  <c r="B15" i="2"/>
  <c r="DS6" i="7" s="1"/>
  <c r="B13" i="2"/>
  <c r="B88" i="2" s="1"/>
  <c r="B12" i="2"/>
  <c r="B11" i="2"/>
  <c r="B10" i="2"/>
  <c r="DO8" i="7"/>
  <c r="B86" i="2"/>
  <c r="B6" i="2"/>
  <c r="B25" i="1"/>
  <c r="B8" i="1"/>
  <c r="B7" i="1"/>
  <c r="DR15" i="7" l="1"/>
  <c r="D10" i="7"/>
  <c r="D11" i="7" s="1"/>
  <c r="CR41" i="7"/>
  <c r="D41" i="7"/>
  <c r="D20" i="7"/>
  <c r="D8" i="7"/>
  <c r="D9" i="7" s="1"/>
  <c r="B9" i="1"/>
  <c r="G15" i="9"/>
  <c r="K15" i="9"/>
  <c r="O15" i="9"/>
  <c r="S15" i="9"/>
  <c r="W15" i="9"/>
  <c r="AA15" i="9"/>
  <c r="AE15" i="9"/>
  <c r="AI15" i="9"/>
  <c r="F54" i="3"/>
  <c r="B5" i="1"/>
  <c r="B87" i="2"/>
  <c r="B14" i="8" s="1"/>
  <c r="F15" i="9"/>
  <c r="J15" i="9"/>
  <c r="N15" i="9"/>
  <c r="R15" i="9"/>
  <c r="V15" i="9"/>
  <c r="Z15" i="9"/>
  <c r="AD15" i="9"/>
  <c r="AH15" i="9"/>
  <c r="AL15" i="9"/>
  <c r="F10" i="3"/>
  <c r="E15" i="9"/>
  <c r="I15" i="9"/>
  <c r="M15" i="9"/>
  <c r="Q15" i="9"/>
  <c r="U15" i="9"/>
  <c r="Y15" i="9"/>
  <c r="AC15" i="9"/>
  <c r="AG15" i="9"/>
  <c r="AK15" i="9"/>
  <c r="F18" i="3"/>
  <c r="F30" i="3"/>
  <c r="Q10" i="7"/>
  <c r="Q11" i="7" s="1"/>
  <c r="F38" i="3"/>
  <c r="AW10" i="7"/>
  <c r="AW11" i="7" s="1"/>
  <c r="K8" i="7"/>
  <c r="K16" i="7" s="1"/>
  <c r="AG8" i="7"/>
  <c r="AG17" i="7" s="1"/>
  <c r="BM8" i="7"/>
  <c r="BM17" i="7" s="1"/>
  <c r="F14" i="3"/>
  <c r="F34" i="3"/>
  <c r="F50" i="3"/>
  <c r="E8" i="7"/>
  <c r="E16" i="7" s="1"/>
  <c r="O8" i="7"/>
  <c r="O9" i="7" s="1"/>
  <c r="C14" i="4" s="1"/>
  <c r="C43" i="1" s="1"/>
  <c r="Z8" i="7"/>
  <c r="Z16" i="7" s="1"/>
  <c r="AK8" i="7"/>
  <c r="AK16" i="7" s="1"/>
  <c r="AU8" i="7"/>
  <c r="AU9" i="7" s="1"/>
  <c r="BF8" i="7"/>
  <c r="BF16" i="7" s="1"/>
  <c r="BQ8" i="7"/>
  <c r="BQ16" i="7" s="1"/>
  <c r="CA8" i="7"/>
  <c r="CA9" i="7" s="1"/>
  <c r="CL8" i="7"/>
  <c r="CL16" i="7" s="1"/>
  <c r="CW8" i="7"/>
  <c r="CW16" i="7" s="1"/>
  <c r="DG8" i="7"/>
  <c r="DG9" i="7" s="1"/>
  <c r="K14" i="4" s="1"/>
  <c r="K43" i="1" s="1"/>
  <c r="DR8" i="7"/>
  <c r="DR16" i="7" s="1"/>
  <c r="V10" i="7"/>
  <c r="V11" i="7" s="1"/>
  <c r="BB10" i="7"/>
  <c r="BB11" i="7" s="1"/>
  <c r="D15" i="9"/>
  <c r="H15" i="9"/>
  <c r="L15" i="9"/>
  <c r="P15" i="9"/>
  <c r="T15" i="9"/>
  <c r="X15" i="9"/>
  <c r="AB15" i="9"/>
  <c r="AF15" i="9"/>
  <c r="AJ15" i="9"/>
  <c r="AQ8" i="7"/>
  <c r="AQ9" i="7" s="1"/>
  <c r="CH8" i="7"/>
  <c r="CH9" i="7" s="1"/>
  <c r="F46" i="3"/>
  <c r="F62" i="3"/>
  <c r="F66" i="3"/>
  <c r="F70" i="3"/>
  <c r="F74" i="3"/>
  <c r="F78" i="3"/>
  <c r="F82" i="3"/>
  <c r="K10" i="7"/>
  <c r="K11" i="7" s="1"/>
  <c r="AA10" i="7"/>
  <c r="AA11" i="7" s="1"/>
  <c r="AQ10" i="7"/>
  <c r="AQ11" i="7" s="1"/>
  <c r="BG10" i="7"/>
  <c r="BG11" i="7" s="1"/>
  <c r="F8" i="7"/>
  <c r="F16" i="7" s="1"/>
  <c r="Q8" i="7"/>
  <c r="Q16" i="7" s="1"/>
  <c r="AA8" i="7"/>
  <c r="AA17" i="7" s="1"/>
  <c r="AL8" i="7"/>
  <c r="AL17" i="7" s="1"/>
  <c r="AW8" i="7"/>
  <c r="AW16" i="7" s="1"/>
  <c r="BG8" i="7"/>
  <c r="BG17" i="7" s="1"/>
  <c r="BR8" i="7"/>
  <c r="BR17" i="7" s="1"/>
  <c r="CC8" i="7"/>
  <c r="CC16" i="7" s="1"/>
  <c r="CM8" i="7"/>
  <c r="CM17" i="7" s="1"/>
  <c r="CX8" i="7"/>
  <c r="CX16" i="7" s="1"/>
  <c r="DI8" i="7"/>
  <c r="DI16" i="7" s="1"/>
  <c r="DS8" i="7"/>
  <c r="DS17" i="7" s="1"/>
  <c r="AG10" i="7"/>
  <c r="AG11" i="7" s="1"/>
  <c r="BM10" i="7"/>
  <c r="BM11" i="7" s="1"/>
  <c r="V8" i="7"/>
  <c r="BB8" i="7"/>
  <c r="BW8" i="7"/>
  <c r="BW9" i="7" s="1"/>
  <c r="H14" i="4" s="1"/>
  <c r="H43" i="1" s="1"/>
  <c r="CS8" i="7"/>
  <c r="CS17" i="7" s="1"/>
  <c r="DC8" i="7"/>
  <c r="DC17" i="7" s="1"/>
  <c r="DN8" i="7"/>
  <c r="DN16" i="7" s="1"/>
  <c r="F6" i="3"/>
  <c r="F22" i="3"/>
  <c r="F26" i="3"/>
  <c r="F42" i="3"/>
  <c r="F58" i="3"/>
  <c r="J8" i="7"/>
  <c r="J17" i="7" s="1"/>
  <c r="U8" i="7"/>
  <c r="U9" i="7" s="1"/>
  <c r="AE8" i="7"/>
  <c r="AE16" i="7" s="1"/>
  <c r="AP8" i="7"/>
  <c r="AP9" i="7" s="1"/>
  <c r="BA8" i="7"/>
  <c r="BA17" i="7" s="1"/>
  <c r="BK8" i="7"/>
  <c r="BK9" i="7" s="1"/>
  <c r="G14" i="4" s="1"/>
  <c r="G43" i="1" s="1"/>
  <c r="BV8" i="7"/>
  <c r="BV17" i="7" s="1"/>
  <c r="CG8" i="7"/>
  <c r="CG17" i="7" s="1"/>
  <c r="CQ8" i="7"/>
  <c r="CQ9" i="7" s="1"/>
  <c r="DB8" i="7"/>
  <c r="DB17" i="7" s="1"/>
  <c r="DM8" i="7"/>
  <c r="DM17" i="7" s="1"/>
  <c r="F10" i="7"/>
  <c r="F11" i="7" s="1"/>
  <c r="AL10" i="7"/>
  <c r="AL11" i="7" s="1"/>
  <c r="BR10" i="7"/>
  <c r="BR11" i="7" s="1"/>
  <c r="DO17" i="7"/>
  <c r="DO16" i="7"/>
  <c r="DO9" i="7"/>
  <c r="I85" i="3"/>
  <c r="J85" i="3"/>
  <c r="CH10" i="7"/>
  <c r="CH11" i="7" s="1"/>
  <c r="CS10" i="7"/>
  <c r="CS11" i="7" s="1"/>
  <c r="DC10" i="7"/>
  <c r="DC11" i="7" s="1"/>
  <c r="DN10" i="7"/>
  <c r="DN11" i="7" s="1"/>
  <c r="U15" i="7"/>
  <c r="AP15" i="7"/>
  <c r="BM15" i="7"/>
  <c r="CG15" i="7"/>
  <c r="DB15" i="7"/>
  <c r="U20" i="7"/>
  <c r="AP20" i="7"/>
  <c r="BM20" i="7"/>
  <c r="CG20" i="7"/>
  <c r="DB20" i="7"/>
  <c r="R21" i="7"/>
  <c r="AC21" i="7"/>
  <c r="AX21" i="7"/>
  <c r="BU21" i="7"/>
  <c r="CO21" i="7"/>
  <c r="Q22" i="7"/>
  <c r="AG23" i="7"/>
  <c r="BB41" i="7"/>
  <c r="B8" i="18"/>
  <c r="C8" i="18"/>
  <c r="E6" i="7"/>
  <c r="J6" i="7"/>
  <c r="O6" i="7"/>
  <c r="U6" i="7"/>
  <c r="Z6" i="7"/>
  <c r="AE6" i="7"/>
  <c r="AK6" i="7"/>
  <c r="AP6" i="7"/>
  <c r="AU6" i="7"/>
  <c r="BA6" i="7"/>
  <c r="BF6" i="7"/>
  <c r="BK6" i="7"/>
  <c r="BQ6" i="7"/>
  <c r="BV6" i="7"/>
  <c r="CA6" i="7"/>
  <c r="CG6" i="7"/>
  <c r="CL6" i="7"/>
  <c r="CQ6" i="7"/>
  <c r="CW6" i="7"/>
  <c r="DB6" i="7"/>
  <c r="DG6" i="7"/>
  <c r="DM6" i="7"/>
  <c r="DR6" i="7"/>
  <c r="G8" i="7"/>
  <c r="M8" i="7"/>
  <c r="R8" i="7"/>
  <c r="W8" i="7"/>
  <c r="AC8" i="7"/>
  <c r="AH8" i="7"/>
  <c r="AM8" i="7"/>
  <c r="AS8" i="7"/>
  <c r="AX8" i="7"/>
  <c r="BC8" i="7"/>
  <c r="BI8" i="7"/>
  <c r="BN8" i="7"/>
  <c r="BS8" i="7"/>
  <c r="BY8" i="7"/>
  <c r="CD8" i="7"/>
  <c r="CI8" i="7"/>
  <c r="CO8" i="7"/>
  <c r="CT8" i="7"/>
  <c r="CY8" i="7"/>
  <c r="DE8" i="7"/>
  <c r="DJ8" i="7"/>
  <c r="G10" i="7"/>
  <c r="G11" i="7" s="1"/>
  <c r="M10" i="7"/>
  <c r="M11" i="7" s="1"/>
  <c r="R10" i="7"/>
  <c r="R11" i="7" s="1"/>
  <c r="W10" i="7"/>
  <c r="W11" i="7" s="1"/>
  <c r="AC10" i="7"/>
  <c r="AC11" i="7" s="1"/>
  <c r="AH10" i="7"/>
  <c r="AH11" i="7" s="1"/>
  <c r="AM10" i="7"/>
  <c r="AM11" i="7" s="1"/>
  <c r="AS10" i="7"/>
  <c r="AS11" i="7" s="1"/>
  <c r="AX10" i="7"/>
  <c r="AX11" i="7" s="1"/>
  <c r="BC10" i="7"/>
  <c r="BC11" i="7" s="1"/>
  <c r="BI10" i="7"/>
  <c r="BI11" i="7" s="1"/>
  <c r="BN10" i="7"/>
  <c r="BN11" i="7" s="1"/>
  <c r="BS10" i="7"/>
  <c r="BS11" i="7" s="1"/>
  <c r="BY10" i="7"/>
  <c r="BY11" i="7" s="1"/>
  <c r="CD10" i="7"/>
  <c r="CD11" i="7" s="1"/>
  <c r="CI10" i="7"/>
  <c r="CI11" i="7" s="1"/>
  <c r="CO10" i="7"/>
  <c r="CO11" i="7" s="1"/>
  <c r="CT10" i="7"/>
  <c r="CT11" i="7" s="1"/>
  <c r="CY10" i="7"/>
  <c r="CY11" i="7" s="1"/>
  <c r="DE10" i="7"/>
  <c r="DE11" i="7" s="1"/>
  <c r="DJ10" i="7"/>
  <c r="DJ11" i="7" s="1"/>
  <c r="DO10" i="7"/>
  <c r="DO11" i="7" s="1"/>
  <c r="M15" i="7"/>
  <c r="Y15" i="7"/>
  <c r="AH15" i="7"/>
  <c r="AS15" i="7"/>
  <c r="BE15" i="7"/>
  <c r="BN15" i="7"/>
  <c r="BY15" i="7"/>
  <c r="CK15" i="7"/>
  <c r="CT15" i="7"/>
  <c r="DE15" i="7"/>
  <c r="DQ15" i="7"/>
  <c r="M20" i="7"/>
  <c r="Y20" i="7"/>
  <c r="AH20" i="7"/>
  <c r="AS20" i="7"/>
  <c r="BE20" i="7"/>
  <c r="BN20" i="7"/>
  <c r="BY20" i="7"/>
  <c r="CK20" i="7"/>
  <c r="CT20" i="7"/>
  <c r="DE20" i="7"/>
  <c r="DQ20" i="7"/>
  <c r="J21" i="7"/>
  <c r="U21" i="7"/>
  <c r="AG21" i="7"/>
  <c r="AP21" i="7"/>
  <c r="BA21" i="7"/>
  <c r="BM21" i="7"/>
  <c r="BV21" i="7"/>
  <c r="CG21" i="7"/>
  <c r="CS21" i="7"/>
  <c r="DB21" i="7"/>
  <c r="DM21" i="7"/>
  <c r="I22" i="7"/>
  <c r="R22" i="7"/>
  <c r="AC22" i="7"/>
  <c r="AO22" i="7"/>
  <c r="AX22" i="7"/>
  <c r="BI22" i="7"/>
  <c r="BU22" i="7"/>
  <c r="CD22" i="7"/>
  <c r="CO22" i="7"/>
  <c r="DB22" i="7"/>
  <c r="DR22" i="7"/>
  <c r="R23" i="7"/>
  <c r="AH23" i="7"/>
  <c r="AX23" i="7"/>
  <c r="BN23" i="7"/>
  <c r="CD23" i="7"/>
  <c r="CT23" i="7"/>
  <c r="DJ23" i="7"/>
  <c r="J24" i="7"/>
  <c r="Z24" i="7"/>
  <c r="AP24" i="7"/>
  <c r="BF24" i="7"/>
  <c r="BV24" i="7"/>
  <c r="CL24" i="7"/>
  <c r="DB24" i="7"/>
  <c r="DR24" i="7"/>
  <c r="R25" i="7"/>
  <c r="AH25" i="7"/>
  <c r="AX25" i="7"/>
  <c r="BN25" i="7"/>
  <c r="CD25" i="7"/>
  <c r="CT25" i="7"/>
  <c r="DJ25" i="7"/>
  <c r="Q26" i="7"/>
  <c r="AW26" i="7"/>
  <c r="CH26" i="7"/>
  <c r="H27" i="7"/>
  <c r="AY27" i="7"/>
  <c r="CP27" i="7"/>
  <c r="P28" i="7"/>
  <c r="BG28" i="7"/>
  <c r="CX28" i="7"/>
  <c r="X29" i="7"/>
  <c r="BO29" i="7"/>
  <c r="DF29" i="7"/>
  <c r="AF30" i="7"/>
  <c r="BW30" i="7"/>
  <c r="DN30" i="7"/>
  <c r="AR31" i="7"/>
  <c r="CX31" i="7"/>
  <c r="BJ32" i="7"/>
  <c r="AA33" i="7"/>
  <c r="DH33" i="7"/>
  <c r="BZ34" i="7"/>
  <c r="BW41" i="7"/>
  <c r="BW10" i="7"/>
  <c r="BW11" i="7" s="1"/>
  <c r="CC10" i="7"/>
  <c r="CC11" i="7" s="1"/>
  <c r="CM10" i="7"/>
  <c r="CM11" i="7" s="1"/>
  <c r="CX10" i="7"/>
  <c r="CX11" i="7" s="1"/>
  <c r="DI10" i="7"/>
  <c r="DI11" i="7" s="1"/>
  <c r="DS10" i="7"/>
  <c r="DS11" i="7" s="1"/>
  <c r="J15" i="7"/>
  <c r="AG15" i="7"/>
  <c r="BA15" i="7"/>
  <c r="BV15" i="7"/>
  <c r="CS15" i="7"/>
  <c r="DM15" i="7"/>
  <c r="J20" i="7"/>
  <c r="AG20" i="7"/>
  <c r="BA20" i="7"/>
  <c r="BV20" i="7"/>
  <c r="CS20" i="7"/>
  <c r="DM20" i="7"/>
  <c r="I21" i="7"/>
  <c r="AO21" i="7"/>
  <c r="BI21" i="7"/>
  <c r="CD21" i="7"/>
  <c r="DA21" i="7"/>
  <c r="DJ21" i="7"/>
  <c r="E22" i="7"/>
  <c r="Z22" i="7"/>
  <c r="AK22" i="7"/>
  <c r="AW22" i="7"/>
  <c r="BF22" i="7"/>
  <c r="BQ22" i="7"/>
  <c r="CC22" i="7"/>
  <c r="CL22" i="7"/>
  <c r="DA22" i="7"/>
  <c r="DQ22" i="7"/>
  <c r="Q23" i="7"/>
  <c r="AW23" i="7"/>
  <c r="BM23" i="7"/>
  <c r="CC23" i="7"/>
  <c r="CS23" i="7"/>
  <c r="DI23" i="7"/>
  <c r="I24" i="7"/>
  <c r="Y24" i="7"/>
  <c r="AO24" i="7"/>
  <c r="BE24" i="7"/>
  <c r="BU24" i="7"/>
  <c r="CK24" i="7"/>
  <c r="DA24" i="7"/>
  <c r="DQ24" i="7"/>
  <c r="Q25" i="7"/>
  <c r="AG25" i="7"/>
  <c r="AW25" i="7"/>
  <c r="BM25" i="7"/>
  <c r="CC25" i="7"/>
  <c r="CS25" i="7"/>
  <c r="DI25" i="7"/>
  <c r="I26" i="7"/>
  <c r="AO26" i="7"/>
  <c r="BW26" i="7"/>
  <c r="DN26" i="7"/>
  <c r="AN27" i="7"/>
  <c r="CE27" i="7"/>
  <c r="F28" i="7"/>
  <c r="AV28" i="7"/>
  <c r="CM28" i="7"/>
  <c r="N29" i="7"/>
  <c r="BD29" i="7"/>
  <c r="CU29" i="7"/>
  <c r="V30" i="7"/>
  <c r="BL30" i="7"/>
  <c r="DC30" i="7"/>
  <c r="AE31" i="7"/>
  <c r="CI31" i="7"/>
  <c r="AN32" i="7"/>
  <c r="F33" i="7"/>
  <c r="CM33" i="7"/>
  <c r="BD34" i="7"/>
  <c r="A12" i="15"/>
  <c r="B12" i="15" s="1"/>
  <c r="A10" i="15"/>
  <c r="B10" i="15" s="1"/>
  <c r="A8" i="15"/>
  <c r="B8" i="15" s="1"/>
  <c r="A6" i="15"/>
  <c r="B6" i="15" s="1"/>
  <c r="A9" i="15"/>
  <c r="B9" i="15" s="1"/>
  <c r="A11" i="15"/>
  <c r="B11" i="15" s="1"/>
  <c r="E5" i="17"/>
  <c r="A7" i="15"/>
  <c r="B7" i="15" s="1"/>
  <c r="B13" i="11"/>
  <c r="B17" i="11" s="1"/>
  <c r="B7" i="8"/>
  <c r="B13" i="8"/>
  <c r="A23" i="15"/>
  <c r="A22" i="15"/>
  <c r="A20" i="15"/>
  <c r="A18" i="15"/>
  <c r="A21" i="15"/>
  <c r="A17" i="15"/>
  <c r="C27" i="12"/>
  <c r="C25" i="12"/>
  <c r="C23" i="12"/>
  <c r="C21" i="12"/>
  <c r="C19" i="12"/>
  <c r="C24" i="12"/>
  <c r="C20" i="12"/>
  <c r="B8" i="12"/>
  <c r="C26" i="12"/>
  <c r="C18" i="12"/>
  <c r="A19" i="15"/>
  <c r="C22" i="12"/>
  <c r="F5" i="3"/>
  <c r="K85" i="3"/>
  <c r="F9" i="3"/>
  <c r="F13" i="3"/>
  <c r="F17" i="3"/>
  <c r="F21" i="3"/>
  <c r="F25" i="3"/>
  <c r="F29" i="3"/>
  <c r="F33" i="3"/>
  <c r="F37" i="3"/>
  <c r="F41" i="3"/>
  <c r="F45" i="3"/>
  <c r="F49" i="3"/>
  <c r="F53" i="3"/>
  <c r="F57" i="3"/>
  <c r="F61" i="3"/>
  <c r="F65" i="3"/>
  <c r="H66" i="3"/>
  <c r="F69" i="3"/>
  <c r="H70" i="3"/>
  <c r="F73" i="3"/>
  <c r="H74" i="3"/>
  <c r="F77" i="3"/>
  <c r="H78" i="3"/>
  <c r="F81" i="3"/>
  <c r="H82" i="3"/>
  <c r="H84" i="3"/>
  <c r="B10" i="17"/>
  <c r="DP8" i="7"/>
  <c r="DL8" i="7"/>
  <c r="DH8" i="7"/>
  <c r="DD8" i="7"/>
  <c r="CZ8" i="7"/>
  <c r="CV8" i="7"/>
  <c r="CR8" i="7"/>
  <c r="CN8" i="7"/>
  <c r="CJ8" i="7"/>
  <c r="CF8" i="7"/>
  <c r="CB8" i="7"/>
  <c r="BX8" i="7"/>
  <c r="BT8" i="7"/>
  <c r="BP8" i="7"/>
  <c r="BL8" i="7"/>
  <c r="BH8" i="7"/>
  <c r="BD8" i="7"/>
  <c r="AZ8" i="7"/>
  <c r="AV8" i="7"/>
  <c r="AR8" i="7"/>
  <c r="AN8" i="7"/>
  <c r="AJ8" i="7"/>
  <c r="AF8" i="7"/>
  <c r="AB8" i="7"/>
  <c r="X8" i="7"/>
  <c r="T8" i="7"/>
  <c r="P8" i="7"/>
  <c r="L8" i="7"/>
  <c r="H8" i="7"/>
  <c r="A66" i="15"/>
  <c r="A62" i="15"/>
  <c r="A65" i="15"/>
  <c r="A63" i="15"/>
  <c r="A60" i="15"/>
  <c r="A61" i="15"/>
  <c r="A64" i="15"/>
  <c r="H23" i="16"/>
  <c r="C19" i="16"/>
  <c r="H22" i="16"/>
  <c r="H21" i="16"/>
  <c r="D19" i="16"/>
  <c r="B19" i="16"/>
  <c r="B16" i="8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B89" i="3"/>
  <c r="F6" i="7"/>
  <c r="K6" i="7"/>
  <c r="Q6" i="7"/>
  <c r="V6" i="7"/>
  <c r="AA6" i="7"/>
  <c r="AG6" i="7"/>
  <c r="AL6" i="7"/>
  <c r="AQ6" i="7"/>
  <c r="AW6" i="7"/>
  <c r="BB6" i="7"/>
  <c r="BG6" i="7"/>
  <c r="BM6" i="7"/>
  <c r="BR6" i="7"/>
  <c r="BW6" i="7"/>
  <c r="CC6" i="7"/>
  <c r="CH6" i="7"/>
  <c r="CM6" i="7"/>
  <c r="CS6" i="7"/>
  <c r="CX6" i="7"/>
  <c r="DC6" i="7"/>
  <c r="DI6" i="7"/>
  <c r="DN6" i="7"/>
  <c r="I8" i="7"/>
  <c r="N8" i="7"/>
  <c r="S8" i="7"/>
  <c r="Y8" i="7"/>
  <c r="AD8" i="7"/>
  <c r="AI8" i="7"/>
  <c r="AO8" i="7"/>
  <c r="AT8" i="7"/>
  <c r="AY8" i="7"/>
  <c r="BE8" i="7"/>
  <c r="BJ8" i="7"/>
  <c r="BO8" i="7"/>
  <c r="BU8" i="7"/>
  <c r="BZ8" i="7"/>
  <c r="CE8" i="7"/>
  <c r="CK8" i="7"/>
  <c r="CP8" i="7"/>
  <c r="CU8" i="7"/>
  <c r="DA8" i="7"/>
  <c r="DF8" i="7"/>
  <c r="DK8" i="7"/>
  <c r="DQ8" i="7"/>
  <c r="I10" i="7"/>
  <c r="I11" i="7" s="1"/>
  <c r="N10" i="7"/>
  <c r="N11" i="7" s="1"/>
  <c r="S10" i="7"/>
  <c r="S11" i="7" s="1"/>
  <c r="Y10" i="7"/>
  <c r="Y11" i="7" s="1"/>
  <c r="AD10" i="7"/>
  <c r="AD11" i="7" s="1"/>
  <c r="AI10" i="7"/>
  <c r="AI11" i="7" s="1"/>
  <c r="AO10" i="7"/>
  <c r="AO11" i="7" s="1"/>
  <c r="AT10" i="7"/>
  <c r="AT11" i="7" s="1"/>
  <c r="AY10" i="7"/>
  <c r="AY11" i="7" s="1"/>
  <c r="BE10" i="7"/>
  <c r="BE11" i="7" s="1"/>
  <c r="BJ10" i="7"/>
  <c r="BJ11" i="7" s="1"/>
  <c r="BO10" i="7"/>
  <c r="BO11" i="7" s="1"/>
  <c r="BU10" i="7"/>
  <c r="BU11" i="7" s="1"/>
  <c r="BZ10" i="7"/>
  <c r="BZ11" i="7" s="1"/>
  <c r="CE10" i="7"/>
  <c r="CE11" i="7" s="1"/>
  <c r="CK10" i="7"/>
  <c r="CK11" i="7" s="1"/>
  <c r="CP10" i="7"/>
  <c r="CP11" i="7" s="1"/>
  <c r="CU10" i="7"/>
  <c r="CU11" i="7" s="1"/>
  <c r="DA10" i="7"/>
  <c r="DA11" i="7" s="1"/>
  <c r="DF10" i="7"/>
  <c r="DF11" i="7" s="1"/>
  <c r="DK10" i="7"/>
  <c r="DK11" i="7" s="1"/>
  <c r="DQ10" i="7"/>
  <c r="DQ11" i="7" s="1"/>
  <c r="E15" i="7"/>
  <c r="Q15" i="7"/>
  <c r="Z15" i="7"/>
  <c r="AK15" i="7"/>
  <c r="AW15" i="7"/>
  <c r="BF15" i="7"/>
  <c r="BQ15" i="7"/>
  <c r="CC15" i="7"/>
  <c r="CL15" i="7"/>
  <c r="CW15" i="7"/>
  <c r="DI15" i="7"/>
  <c r="E20" i="7"/>
  <c r="Q20" i="7"/>
  <c r="Z20" i="7"/>
  <c r="AK20" i="7"/>
  <c r="AW20" i="7"/>
  <c r="BF20" i="7"/>
  <c r="BQ20" i="7"/>
  <c r="CC20" i="7"/>
  <c r="CL20" i="7"/>
  <c r="CW20" i="7"/>
  <c r="DI20" i="7"/>
  <c r="DR20" i="7"/>
  <c r="M21" i="7"/>
  <c r="Y21" i="7"/>
  <c r="AH21" i="7"/>
  <c r="AS21" i="7"/>
  <c r="BE21" i="7"/>
  <c r="BN21" i="7"/>
  <c r="BY21" i="7"/>
  <c r="CK21" i="7"/>
  <c r="CT21" i="7"/>
  <c r="DE21" i="7"/>
  <c r="DQ21" i="7"/>
  <c r="J22" i="7"/>
  <c r="U22" i="7"/>
  <c r="AG22" i="7"/>
  <c r="AP22" i="7"/>
  <c r="BA22" i="7"/>
  <c r="BM22" i="7"/>
  <c r="BV22" i="7"/>
  <c r="CG22" i="7"/>
  <c r="CS22" i="7"/>
  <c r="DI22" i="7"/>
  <c r="I23" i="7"/>
  <c r="Y23" i="7"/>
  <c r="AO23" i="7"/>
  <c r="BE23" i="7"/>
  <c r="BU23" i="7"/>
  <c r="CK23" i="7"/>
  <c r="DA23" i="7"/>
  <c r="DQ23" i="7"/>
  <c r="Q24" i="7"/>
  <c r="AG24" i="7"/>
  <c r="AW24" i="7"/>
  <c r="BM24" i="7"/>
  <c r="CC24" i="7"/>
  <c r="CS24" i="7"/>
  <c r="DI24" i="7"/>
  <c r="I25" i="7"/>
  <c r="Y25" i="7"/>
  <c r="AO25" i="7"/>
  <c r="BE25" i="7"/>
  <c r="BU25" i="7"/>
  <c r="CK25" i="7"/>
  <c r="DA25" i="7"/>
  <c r="DQ25" i="7"/>
  <c r="Y26" i="7"/>
  <c r="BE26" i="7"/>
  <c r="CR26" i="7"/>
  <c r="S27" i="7"/>
  <c r="BJ27" i="7"/>
  <c r="CZ27" i="7"/>
  <c r="AA28" i="7"/>
  <c r="BR28" i="7"/>
  <c r="DH28" i="7"/>
  <c r="AI29" i="7"/>
  <c r="BZ29" i="7"/>
  <c r="DP29" i="7"/>
  <c r="AQ30" i="7"/>
  <c r="CH30" i="7"/>
  <c r="H31" i="7"/>
  <c r="BG31" i="7"/>
  <c r="DN31" i="7"/>
  <c r="CE32" i="7"/>
  <c r="AV33" i="7"/>
  <c r="N34" i="7"/>
  <c r="CU34" i="7"/>
  <c r="K41" i="7"/>
  <c r="DQ41" i="7"/>
  <c r="DM41" i="7"/>
  <c r="DI41" i="7"/>
  <c r="DE41" i="7"/>
  <c r="DA41" i="7"/>
  <c r="CW41" i="7"/>
  <c r="CS41" i="7"/>
  <c r="CO41" i="7"/>
  <c r="CK41" i="7"/>
  <c r="CG41" i="7"/>
  <c r="CC41" i="7"/>
  <c r="BY41" i="7"/>
  <c r="BU41" i="7"/>
  <c r="BQ41" i="7"/>
  <c r="BM41" i="7"/>
  <c r="BI41" i="7"/>
  <c r="BE41" i="7"/>
  <c r="BA41" i="7"/>
  <c r="AW41" i="7"/>
  <c r="AS41" i="7"/>
  <c r="AO41" i="7"/>
  <c r="AK41" i="7"/>
  <c r="AG41" i="7"/>
  <c r="AC41" i="7"/>
  <c r="Y41" i="7"/>
  <c r="U41" i="7"/>
  <c r="Q41" i="7"/>
  <c r="M41" i="7"/>
  <c r="I41" i="7"/>
  <c r="E41" i="7"/>
  <c r="DQ34" i="7"/>
  <c r="DM34" i="7"/>
  <c r="DI34" i="7"/>
  <c r="DE34" i="7"/>
  <c r="DA34" i="7"/>
  <c r="CW34" i="7"/>
  <c r="CS34" i="7"/>
  <c r="CO34" i="7"/>
  <c r="CK34" i="7"/>
  <c r="CG34" i="7"/>
  <c r="CC34" i="7"/>
  <c r="BY34" i="7"/>
  <c r="BU34" i="7"/>
  <c r="BQ34" i="7"/>
  <c r="BM34" i="7"/>
  <c r="BI34" i="7"/>
  <c r="BE34" i="7"/>
  <c r="BA34" i="7"/>
  <c r="AW34" i="7"/>
  <c r="AS34" i="7"/>
  <c r="AO34" i="7"/>
  <c r="AK34" i="7"/>
  <c r="AG34" i="7"/>
  <c r="AC34" i="7"/>
  <c r="Y34" i="7"/>
  <c r="U34" i="7"/>
  <c r="Q34" i="7"/>
  <c r="M34" i="7"/>
  <c r="I34" i="7"/>
  <c r="E34" i="7"/>
  <c r="DQ33" i="7"/>
  <c r="DM33" i="7"/>
  <c r="DI33" i="7"/>
  <c r="DE33" i="7"/>
  <c r="DA33" i="7"/>
  <c r="CW33" i="7"/>
  <c r="CS33" i="7"/>
  <c r="CO33" i="7"/>
  <c r="CK33" i="7"/>
  <c r="CG33" i="7"/>
  <c r="CC33" i="7"/>
  <c r="BY33" i="7"/>
  <c r="BU33" i="7"/>
  <c r="BQ33" i="7"/>
  <c r="BM33" i="7"/>
  <c r="BI33" i="7"/>
  <c r="BE33" i="7"/>
  <c r="BA33" i="7"/>
  <c r="AW33" i="7"/>
  <c r="AS33" i="7"/>
  <c r="AO33" i="7"/>
  <c r="AK33" i="7"/>
  <c r="AG33" i="7"/>
  <c r="AC33" i="7"/>
  <c r="Y33" i="7"/>
  <c r="U33" i="7"/>
  <c r="Q33" i="7"/>
  <c r="M33" i="7"/>
  <c r="I33" i="7"/>
  <c r="E33" i="7"/>
  <c r="DQ32" i="7"/>
  <c r="DM32" i="7"/>
  <c r="DI32" i="7"/>
  <c r="DE32" i="7"/>
  <c r="DA32" i="7"/>
  <c r="CW32" i="7"/>
  <c r="CS32" i="7"/>
  <c r="CO32" i="7"/>
  <c r="CK32" i="7"/>
  <c r="CG32" i="7"/>
  <c r="CC32" i="7"/>
  <c r="BY32" i="7"/>
  <c r="BU32" i="7"/>
  <c r="BQ32" i="7"/>
  <c r="BM32" i="7"/>
  <c r="BI32" i="7"/>
  <c r="BE32" i="7"/>
  <c r="BA32" i="7"/>
  <c r="AW32" i="7"/>
  <c r="AS32" i="7"/>
  <c r="AO32" i="7"/>
  <c r="AK32" i="7"/>
  <c r="AG32" i="7"/>
  <c r="AC32" i="7"/>
  <c r="Y32" i="7"/>
  <c r="U32" i="7"/>
  <c r="Q32" i="7"/>
  <c r="M32" i="7"/>
  <c r="I32" i="7"/>
  <c r="E32" i="7"/>
  <c r="DQ31" i="7"/>
  <c r="DM31" i="7"/>
  <c r="DI31" i="7"/>
  <c r="DE31" i="7"/>
  <c r="DA31" i="7"/>
  <c r="CW31" i="7"/>
  <c r="CS31" i="7"/>
  <c r="CO31" i="7"/>
  <c r="CK31" i="7"/>
  <c r="CG31" i="7"/>
  <c r="CC31" i="7"/>
  <c r="BY31" i="7"/>
  <c r="BU31" i="7"/>
  <c r="BQ31" i="7"/>
  <c r="BM31" i="7"/>
  <c r="BI31" i="7"/>
  <c r="BE31" i="7"/>
  <c r="BA31" i="7"/>
  <c r="AW31" i="7"/>
  <c r="AS31" i="7"/>
  <c r="AO31" i="7"/>
  <c r="AK31" i="7"/>
  <c r="AG31" i="7"/>
  <c r="AC31" i="7"/>
  <c r="Y31" i="7"/>
  <c r="U31" i="7"/>
  <c r="Q31" i="7"/>
  <c r="M31" i="7"/>
  <c r="I31" i="7"/>
  <c r="E31" i="7"/>
  <c r="DQ30" i="7"/>
  <c r="DM30" i="7"/>
  <c r="DI30" i="7"/>
  <c r="DE30" i="7"/>
  <c r="DA30" i="7"/>
  <c r="CW30" i="7"/>
  <c r="CS30" i="7"/>
  <c r="CO30" i="7"/>
  <c r="CK30" i="7"/>
  <c r="CG30" i="7"/>
  <c r="CC30" i="7"/>
  <c r="BY30" i="7"/>
  <c r="BU30" i="7"/>
  <c r="BQ30" i="7"/>
  <c r="BM30" i="7"/>
  <c r="BI30" i="7"/>
  <c r="BE30" i="7"/>
  <c r="BA30" i="7"/>
  <c r="AW30" i="7"/>
  <c r="AS30" i="7"/>
  <c r="AO30" i="7"/>
  <c r="AK30" i="7"/>
  <c r="AG30" i="7"/>
  <c r="AC30" i="7"/>
  <c r="Y30" i="7"/>
  <c r="U30" i="7"/>
  <c r="Q30" i="7"/>
  <c r="M30" i="7"/>
  <c r="I30" i="7"/>
  <c r="E30" i="7"/>
  <c r="DQ29" i="7"/>
  <c r="DM29" i="7"/>
  <c r="DI29" i="7"/>
  <c r="DE29" i="7"/>
  <c r="DA29" i="7"/>
  <c r="CW29" i="7"/>
  <c r="CS29" i="7"/>
  <c r="CO29" i="7"/>
  <c r="CK29" i="7"/>
  <c r="CG29" i="7"/>
  <c r="CC29" i="7"/>
  <c r="BY29" i="7"/>
  <c r="BU29" i="7"/>
  <c r="BQ29" i="7"/>
  <c r="BM29" i="7"/>
  <c r="BI29" i="7"/>
  <c r="BE29" i="7"/>
  <c r="BA29" i="7"/>
  <c r="AW29" i="7"/>
  <c r="AS29" i="7"/>
  <c r="AO29" i="7"/>
  <c r="AK29" i="7"/>
  <c r="AG29" i="7"/>
  <c r="AC29" i="7"/>
  <c r="Y29" i="7"/>
  <c r="U29" i="7"/>
  <c r="Q29" i="7"/>
  <c r="M29" i="7"/>
  <c r="I29" i="7"/>
  <c r="E29" i="7"/>
  <c r="DQ28" i="7"/>
  <c r="DM28" i="7"/>
  <c r="DI28" i="7"/>
  <c r="DE28" i="7"/>
  <c r="DA28" i="7"/>
  <c r="CW28" i="7"/>
  <c r="CS28" i="7"/>
  <c r="CO28" i="7"/>
  <c r="CK28" i="7"/>
  <c r="CG28" i="7"/>
  <c r="CC28" i="7"/>
  <c r="BY28" i="7"/>
  <c r="BU28" i="7"/>
  <c r="BQ28" i="7"/>
  <c r="BM28" i="7"/>
  <c r="BI28" i="7"/>
  <c r="BE28" i="7"/>
  <c r="BA28" i="7"/>
  <c r="AW28" i="7"/>
  <c r="AS28" i="7"/>
  <c r="AO28" i="7"/>
  <c r="AK28" i="7"/>
  <c r="AG28" i="7"/>
  <c r="AC28" i="7"/>
  <c r="Y28" i="7"/>
  <c r="U28" i="7"/>
  <c r="Q28" i="7"/>
  <c r="M28" i="7"/>
  <c r="I28" i="7"/>
  <c r="E28" i="7"/>
  <c r="DQ27" i="7"/>
  <c r="DM27" i="7"/>
  <c r="DI27" i="7"/>
  <c r="DE27" i="7"/>
  <c r="DA27" i="7"/>
  <c r="CW27" i="7"/>
  <c r="CS27" i="7"/>
  <c r="CO27" i="7"/>
  <c r="CK27" i="7"/>
  <c r="CG27" i="7"/>
  <c r="CC27" i="7"/>
  <c r="BY27" i="7"/>
  <c r="BU27" i="7"/>
  <c r="BQ27" i="7"/>
  <c r="BM27" i="7"/>
  <c r="BI27" i="7"/>
  <c r="BE27" i="7"/>
  <c r="BA27" i="7"/>
  <c r="AW27" i="7"/>
  <c r="AS27" i="7"/>
  <c r="AO27" i="7"/>
  <c r="AK27" i="7"/>
  <c r="AG27" i="7"/>
  <c r="AC27" i="7"/>
  <c r="Y27" i="7"/>
  <c r="U27" i="7"/>
  <c r="Q27" i="7"/>
  <c r="M27" i="7"/>
  <c r="I27" i="7"/>
  <c r="E27" i="7"/>
  <c r="DQ26" i="7"/>
  <c r="DM26" i="7"/>
  <c r="DI26" i="7"/>
  <c r="DE26" i="7"/>
  <c r="DA26" i="7"/>
  <c r="CW26" i="7"/>
  <c r="CS26" i="7"/>
  <c r="CO26" i="7"/>
  <c r="CK26" i="7"/>
  <c r="CG26" i="7"/>
  <c r="CC26" i="7"/>
  <c r="BY26" i="7"/>
  <c r="BU26" i="7"/>
  <c r="BQ26" i="7"/>
  <c r="DR41" i="7"/>
  <c r="DL41" i="7"/>
  <c r="DG41" i="7"/>
  <c r="DB41" i="7"/>
  <c r="CV41" i="7"/>
  <c r="CQ41" i="7"/>
  <c r="CL41" i="7"/>
  <c r="CF41" i="7"/>
  <c r="CA41" i="7"/>
  <c r="BV41" i="7"/>
  <c r="BP41" i="7"/>
  <c r="BK41" i="7"/>
  <c r="BF41" i="7"/>
  <c r="AZ41" i="7"/>
  <c r="AU41" i="7"/>
  <c r="AP41" i="7"/>
  <c r="AJ41" i="7"/>
  <c r="AE41" i="7"/>
  <c r="Z41" i="7"/>
  <c r="T41" i="7"/>
  <c r="O41" i="7"/>
  <c r="J41" i="7"/>
  <c r="DO34" i="7"/>
  <c r="DJ34" i="7"/>
  <c r="DD34" i="7"/>
  <c r="CY34" i="7"/>
  <c r="CT34" i="7"/>
  <c r="CN34" i="7"/>
  <c r="CI34" i="7"/>
  <c r="CD34" i="7"/>
  <c r="BX34" i="7"/>
  <c r="BS34" i="7"/>
  <c r="BN34" i="7"/>
  <c r="BH34" i="7"/>
  <c r="BC34" i="7"/>
  <c r="AX34" i="7"/>
  <c r="AR34" i="7"/>
  <c r="AM34" i="7"/>
  <c r="AH34" i="7"/>
  <c r="AB34" i="7"/>
  <c r="W34" i="7"/>
  <c r="R34" i="7"/>
  <c r="L34" i="7"/>
  <c r="G34" i="7"/>
  <c r="DR33" i="7"/>
  <c r="DL33" i="7"/>
  <c r="DG33" i="7"/>
  <c r="DB33" i="7"/>
  <c r="CV33" i="7"/>
  <c r="CQ33" i="7"/>
  <c r="CL33" i="7"/>
  <c r="CF33" i="7"/>
  <c r="CA33" i="7"/>
  <c r="BV33" i="7"/>
  <c r="BP33" i="7"/>
  <c r="BK33" i="7"/>
  <c r="BF33" i="7"/>
  <c r="AZ33" i="7"/>
  <c r="AU33" i="7"/>
  <c r="AP33" i="7"/>
  <c r="AJ33" i="7"/>
  <c r="AE33" i="7"/>
  <c r="Z33" i="7"/>
  <c r="T33" i="7"/>
  <c r="O33" i="7"/>
  <c r="J33" i="7"/>
  <c r="D33" i="7"/>
  <c r="DO32" i="7"/>
  <c r="DJ32" i="7"/>
  <c r="DD32" i="7"/>
  <c r="CY32" i="7"/>
  <c r="CT32" i="7"/>
  <c r="CN32" i="7"/>
  <c r="CI32" i="7"/>
  <c r="CD32" i="7"/>
  <c r="BX32" i="7"/>
  <c r="BS32" i="7"/>
  <c r="BN32" i="7"/>
  <c r="BH32" i="7"/>
  <c r="BC32" i="7"/>
  <c r="AX32" i="7"/>
  <c r="AR32" i="7"/>
  <c r="AM32" i="7"/>
  <c r="AH32" i="7"/>
  <c r="AB32" i="7"/>
  <c r="W32" i="7"/>
  <c r="R32" i="7"/>
  <c r="L32" i="7"/>
  <c r="G32" i="7"/>
  <c r="DR31" i="7"/>
  <c r="DL31" i="7"/>
  <c r="DP41" i="7"/>
  <c r="DK41" i="7"/>
  <c r="DF41" i="7"/>
  <c r="CZ41" i="7"/>
  <c r="CU41" i="7"/>
  <c r="CP41" i="7"/>
  <c r="CJ41" i="7"/>
  <c r="CE41" i="7"/>
  <c r="BZ41" i="7"/>
  <c r="BT41" i="7"/>
  <c r="BO41" i="7"/>
  <c r="BJ41" i="7"/>
  <c r="BD41" i="7"/>
  <c r="AY41" i="7"/>
  <c r="AT41" i="7"/>
  <c r="AN41" i="7"/>
  <c r="AI41" i="7"/>
  <c r="AD41" i="7"/>
  <c r="X41" i="7"/>
  <c r="S41" i="7"/>
  <c r="N41" i="7"/>
  <c r="H41" i="7"/>
  <c r="DS34" i="7"/>
  <c r="DN34" i="7"/>
  <c r="DH34" i="7"/>
  <c r="DC34" i="7"/>
  <c r="CX34" i="7"/>
  <c r="CR34" i="7"/>
  <c r="CM34" i="7"/>
  <c r="CH34" i="7"/>
  <c r="CB34" i="7"/>
  <c r="BW34" i="7"/>
  <c r="BR34" i="7"/>
  <c r="BL34" i="7"/>
  <c r="BG34" i="7"/>
  <c r="BB34" i="7"/>
  <c r="AV34" i="7"/>
  <c r="AQ34" i="7"/>
  <c r="AL34" i="7"/>
  <c r="AF34" i="7"/>
  <c r="AA34" i="7"/>
  <c r="V34" i="7"/>
  <c r="P34" i="7"/>
  <c r="K34" i="7"/>
  <c r="F34" i="7"/>
  <c r="DP33" i="7"/>
  <c r="DK33" i="7"/>
  <c r="DF33" i="7"/>
  <c r="CZ33" i="7"/>
  <c r="CU33" i="7"/>
  <c r="CP33" i="7"/>
  <c r="CJ33" i="7"/>
  <c r="CE33" i="7"/>
  <c r="BZ33" i="7"/>
  <c r="BT33" i="7"/>
  <c r="BO33" i="7"/>
  <c r="BJ33" i="7"/>
  <c r="BD33" i="7"/>
  <c r="AY33" i="7"/>
  <c r="AT33" i="7"/>
  <c r="AN33" i="7"/>
  <c r="AI33" i="7"/>
  <c r="AD33" i="7"/>
  <c r="X33" i="7"/>
  <c r="S33" i="7"/>
  <c r="N33" i="7"/>
  <c r="H33" i="7"/>
  <c r="DS32" i="7"/>
  <c r="DN32" i="7"/>
  <c r="DH32" i="7"/>
  <c r="DC32" i="7"/>
  <c r="CX32" i="7"/>
  <c r="CR32" i="7"/>
  <c r="CM32" i="7"/>
  <c r="CH32" i="7"/>
  <c r="CB32" i="7"/>
  <c r="BW32" i="7"/>
  <c r="BR32" i="7"/>
  <c r="BL32" i="7"/>
  <c r="BG32" i="7"/>
  <c r="BB32" i="7"/>
  <c r="AV32" i="7"/>
  <c r="AQ32" i="7"/>
  <c r="AL32" i="7"/>
  <c r="AF32" i="7"/>
  <c r="AA32" i="7"/>
  <c r="V32" i="7"/>
  <c r="P32" i="7"/>
  <c r="K32" i="7"/>
  <c r="F32" i="7"/>
  <c r="DP31" i="7"/>
  <c r="DK31" i="7"/>
  <c r="DF31" i="7"/>
  <c r="CZ31" i="7"/>
  <c r="CU31" i="7"/>
  <c r="CP31" i="7"/>
  <c r="CJ31" i="7"/>
  <c r="CE31" i="7"/>
  <c r="BZ31" i="7"/>
  <c r="BT31" i="7"/>
  <c r="BO31" i="7"/>
  <c r="BJ31" i="7"/>
  <c r="BD31" i="7"/>
  <c r="AY31" i="7"/>
  <c r="AT31" i="7"/>
  <c r="AN31" i="7"/>
  <c r="AI31" i="7"/>
  <c r="AD31" i="7"/>
  <c r="DJ41" i="7"/>
  <c r="CY41" i="7"/>
  <c r="CN41" i="7"/>
  <c r="CD41" i="7"/>
  <c r="BS41" i="7"/>
  <c r="BH41" i="7"/>
  <c r="AX41" i="7"/>
  <c r="AM41" i="7"/>
  <c r="AB41" i="7"/>
  <c r="R41" i="7"/>
  <c r="G41" i="7"/>
  <c r="DL34" i="7"/>
  <c r="DB34" i="7"/>
  <c r="CQ34" i="7"/>
  <c r="CF34" i="7"/>
  <c r="BV34" i="7"/>
  <c r="BK34" i="7"/>
  <c r="AZ34" i="7"/>
  <c r="AP34" i="7"/>
  <c r="AE34" i="7"/>
  <c r="T34" i="7"/>
  <c r="J34" i="7"/>
  <c r="DO33" i="7"/>
  <c r="DD33" i="7"/>
  <c r="CT33" i="7"/>
  <c r="CI33" i="7"/>
  <c r="BX33" i="7"/>
  <c r="BN33" i="7"/>
  <c r="BC33" i="7"/>
  <c r="AR33" i="7"/>
  <c r="AH33" i="7"/>
  <c r="W33" i="7"/>
  <c r="L33" i="7"/>
  <c r="DR32" i="7"/>
  <c r="DG32" i="7"/>
  <c r="CV32" i="7"/>
  <c r="CL32" i="7"/>
  <c r="CA32" i="7"/>
  <c r="BP32" i="7"/>
  <c r="BF32" i="7"/>
  <c r="AU32" i="7"/>
  <c r="AJ32" i="7"/>
  <c r="Z32" i="7"/>
  <c r="O32" i="7"/>
  <c r="D32" i="7"/>
  <c r="DJ31" i="7"/>
  <c r="DC31" i="7"/>
  <c r="CV31" i="7"/>
  <c r="CN31" i="7"/>
  <c r="CH31" i="7"/>
  <c r="CA31" i="7"/>
  <c r="BS31" i="7"/>
  <c r="BL31" i="7"/>
  <c r="BF31" i="7"/>
  <c r="AX31" i="7"/>
  <c r="AQ31" i="7"/>
  <c r="AJ31" i="7"/>
  <c r="AB31" i="7"/>
  <c r="W31" i="7"/>
  <c r="R31" i="7"/>
  <c r="L31" i="7"/>
  <c r="G31" i="7"/>
  <c r="DR30" i="7"/>
  <c r="DL30" i="7"/>
  <c r="DG30" i="7"/>
  <c r="DB30" i="7"/>
  <c r="CV30" i="7"/>
  <c r="CQ30" i="7"/>
  <c r="CL30" i="7"/>
  <c r="CF30" i="7"/>
  <c r="CA30" i="7"/>
  <c r="BV30" i="7"/>
  <c r="BP30" i="7"/>
  <c r="BK30" i="7"/>
  <c r="BF30" i="7"/>
  <c r="AZ30" i="7"/>
  <c r="AU30" i="7"/>
  <c r="AP30" i="7"/>
  <c r="AJ30" i="7"/>
  <c r="AE30" i="7"/>
  <c r="Z30" i="7"/>
  <c r="T30" i="7"/>
  <c r="O30" i="7"/>
  <c r="J30" i="7"/>
  <c r="D30" i="7"/>
  <c r="DO29" i="7"/>
  <c r="DJ29" i="7"/>
  <c r="DD29" i="7"/>
  <c r="CY29" i="7"/>
  <c r="CT29" i="7"/>
  <c r="CN29" i="7"/>
  <c r="CI29" i="7"/>
  <c r="CD29" i="7"/>
  <c r="BX29" i="7"/>
  <c r="BS29" i="7"/>
  <c r="BN29" i="7"/>
  <c r="BH29" i="7"/>
  <c r="BC29" i="7"/>
  <c r="AX29" i="7"/>
  <c r="AR29" i="7"/>
  <c r="AM29" i="7"/>
  <c r="AH29" i="7"/>
  <c r="AB29" i="7"/>
  <c r="W29" i="7"/>
  <c r="R29" i="7"/>
  <c r="L29" i="7"/>
  <c r="G29" i="7"/>
  <c r="DR28" i="7"/>
  <c r="DL28" i="7"/>
  <c r="DG28" i="7"/>
  <c r="DB28" i="7"/>
  <c r="CV28" i="7"/>
  <c r="CQ28" i="7"/>
  <c r="CL28" i="7"/>
  <c r="CF28" i="7"/>
  <c r="CA28" i="7"/>
  <c r="BV28" i="7"/>
  <c r="BP28" i="7"/>
  <c r="BK28" i="7"/>
  <c r="BF28" i="7"/>
  <c r="AZ28" i="7"/>
  <c r="AU28" i="7"/>
  <c r="AP28" i="7"/>
  <c r="AJ28" i="7"/>
  <c r="AE28" i="7"/>
  <c r="Z28" i="7"/>
  <c r="T28" i="7"/>
  <c r="O28" i="7"/>
  <c r="J28" i="7"/>
  <c r="D28" i="7"/>
  <c r="DO27" i="7"/>
  <c r="DJ27" i="7"/>
  <c r="DD27" i="7"/>
  <c r="CY27" i="7"/>
  <c r="CT27" i="7"/>
  <c r="CN27" i="7"/>
  <c r="CI27" i="7"/>
  <c r="CD27" i="7"/>
  <c r="BX27" i="7"/>
  <c r="BS27" i="7"/>
  <c r="BN27" i="7"/>
  <c r="BH27" i="7"/>
  <c r="BC27" i="7"/>
  <c r="AX27" i="7"/>
  <c r="AR27" i="7"/>
  <c r="AM27" i="7"/>
  <c r="AH27" i="7"/>
  <c r="AB27" i="7"/>
  <c r="W27" i="7"/>
  <c r="R27" i="7"/>
  <c r="L27" i="7"/>
  <c r="G27" i="7"/>
  <c r="DR26" i="7"/>
  <c r="DL26" i="7"/>
  <c r="DG26" i="7"/>
  <c r="DB26" i="7"/>
  <c r="CV26" i="7"/>
  <c r="CQ26" i="7"/>
  <c r="CL26" i="7"/>
  <c r="CF26" i="7"/>
  <c r="CA26" i="7"/>
  <c r="BV26" i="7"/>
  <c r="BP26" i="7"/>
  <c r="BL26" i="7"/>
  <c r="BH26" i="7"/>
  <c r="BD26" i="7"/>
  <c r="AZ26" i="7"/>
  <c r="AV26" i="7"/>
  <c r="AR26" i="7"/>
  <c r="AN26" i="7"/>
  <c r="AJ26" i="7"/>
  <c r="AF26" i="7"/>
  <c r="AB26" i="7"/>
  <c r="X26" i="7"/>
  <c r="T26" i="7"/>
  <c r="P26" i="7"/>
  <c r="L26" i="7"/>
  <c r="H26" i="7"/>
  <c r="D26" i="7"/>
  <c r="DP25" i="7"/>
  <c r="DL25" i="7"/>
  <c r="DH25" i="7"/>
  <c r="DD25" i="7"/>
  <c r="CZ25" i="7"/>
  <c r="CV25" i="7"/>
  <c r="CR25" i="7"/>
  <c r="CN25" i="7"/>
  <c r="CJ25" i="7"/>
  <c r="CF25" i="7"/>
  <c r="CB25" i="7"/>
  <c r="BX25" i="7"/>
  <c r="BT25" i="7"/>
  <c r="BP25" i="7"/>
  <c r="BL25" i="7"/>
  <c r="BH25" i="7"/>
  <c r="BD25" i="7"/>
  <c r="AZ25" i="7"/>
  <c r="AV25" i="7"/>
  <c r="AR25" i="7"/>
  <c r="AN25" i="7"/>
  <c r="AJ25" i="7"/>
  <c r="AF25" i="7"/>
  <c r="AB25" i="7"/>
  <c r="X25" i="7"/>
  <c r="T25" i="7"/>
  <c r="P25" i="7"/>
  <c r="L25" i="7"/>
  <c r="H25" i="7"/>
  <c r="D25" i="7"/>
  <c r="DP24" i="7"/>
  <c r="DL24" i="7"/>
  <c r="DH24" i="7"/>
  <c r="DD24" i="7"/>
  <c r="CZ24" i="7"/>
  <c r="CV24" i="7"/>
  <c r="CR24" i="7"/>
  <c r="CN24" i="7"/>
  <c r="CJ24" i="7"/>
  <c r="CF24" i="7"/>
  <c r="CB24" i="7"/>
  <c r="BX24" i="7"/>
  <c r="BT24" i="7"/>
  <c r="BP24" i="7"/>
  <c r="BL24" i="7"/>
  <c r="BH24" i="7"/>
  <c r="BD24" i="7"/>
  <c r="AZ24" i="7"/>
  <c r="AV24" i="7"/>
  <c r="AR24" i="7"/>
  <c r="AN24" i="7"/>
  <c r="AJ24" i="7"/>
  <c r="AF24" i="7"/>
  <c r="AB24" i="7"/>
  <c r="X24" i="7"/>
  <c r="T24" i="7"/>
  <c r="P24" i="7"/>
  <c r="L24" i="7"/>
  <c r="H24" i="7"/>
  <c r="D24" i="7"/>
  <c r="DP23" i="7"/>
  <c r="DL23" i="7"/>
  <c r="DH23" i="7"/>
  <c r="DD23" i="7"/>
  <c r="CZ23" i="7"/>
  <c r="CV23" i="7"/>
  <c r="CR23" i="7"/>
  <c r="CN23" i="7"/>
  <c r="CJ23" i="7"/>
  <c r="CF23" i="7"/>
  <c r="CB23" i="7"/>
  <c r="BX23" i="7"/>
  <c r="BT23" i="7"/>
  <c r="BP23" i="7"/>
  <c r="BL23" i="7"/>
  <c r="BH23" i="7"/>
  <c r="BD23" i="7"/>
  <c r="AZ23" i="7"/>
  <c r="AV23" i="7"/>
  <c r="AR23" i="7"/>
  <c r="AN23" i="7"/>
  <c r="AJ23" i="7"/>
  <c r="AF23" i="7"/>
  <c r="AB23" i="7"/>
  <c r="X23" i="7"/>
  <c r="T23" i="7"/>
  <c r="P23" i="7"/>
  <c r="L23" i="7"/>
  <c r="H23" i="7"/>
  <c r="D23" i="7"/>
  <c r="DP22" i="7"/>
  <c r="DL22" i="7"/>
  <c r="DH22" i="7"/>
  <c r="DD22" i="7"/>
  <c r="CZ22" i="7"/>
  <c r="CV22" i="7"/>
  <c r="CR22" i="7"/>
  <c r="CN22" i="7"/>
  <c r="CJ22" i="7"/>
  <c r="CF22" i="7"/>
  <c r="CB22" i="7"/>
  <c r="BX22" i="7"/>
  <c r="BT22" i="7"/>
  <c r="BP22" i="7"/>
  <c r="BL22" i="7"/>
  <c r="BH22" i="7"/>
  <c r="BD22" i="7"/>
  <c r="AZ22" i="7"/>
  <c r="AV22" i="7"/>
  <c r="AR22" i="7"/>
  <c r="AN22" i="7"/>
  <c r="AJ22" i="7"/>
  <c r="AF22" i="7"/>
  <c r="AB22" i="7"/>
  <c r="X22" i="7"/>
  <c r="T22" i="7"/>
  <c r="P22" i="7"/>
  <c r="L22" i="7"/>
  <c r="H22" i="7"/>
  <c r="D22" i="7"/>
  <c r="DP21" i="7"/>
  <c r="DL21" i="7"/>
  <c r="DH21" i="7"/>
  <c r="DD21" i="7"/>
  <c r="CZ21" i="7"/>
  <c r="CV21" i="7"/>
  <c r="CR21" i="7"/>
  <c r="CN21" i="7"/>
  <c r="CJ21" i="7"/>
  <c r="CF21" i="7"/>
  <c r="CB21" i="7"/>
  <c r="BX21" i="7"/>
  <c r="BT21" i="7"/>
  <c r="BP21" i="7"/>
  <c r="BL21" i="7"/>
  <c r="BH21" i="7"/>
  <c r="BD21" i="7"/>
  <c r="AZ21" i="7"/>
  <c r="AV21" i="7"/>
  <c r="AR21" i="7"/>
  <c r="AN21" i="7"/>
  <c r="AJ21" i="7"/>
  <c r="AF21" i="7"/>
  <c r="AB21" i="7"/>
  <c r="X21" i="7"/>
  <c r="T21" i="7"/>
  <c r="P21" i="7"/>
  <c r="L21" i="7"/>
  <c r="H21" i="7"/>
  <c r="D21" i="7"/>
  <c r="DP20" i="7"/>
  <c r="DL20" i="7"/>
  <c r="DH20" i="7"/>
  <c r="DD20" i="7"/>
  <c r="CZ20" i="7"/>
  <c r="CV20" i="7"/>
  <c r="CR20" i="7"/>
  <c r="CN20" i="7"/>
  <c r="CJ20" i="7"/>
  <c r="CF20" i="7"/>
  <c r="CB20" i="7"/>
  <c r="BX20" i="7"/>
  <c r="BT20" i="7"/>
  <c r="BP20" i="7"/>
  <c r="BL20" i="7"/>
  <c r="BH20" i="7"/>
  <c r="BD20" i="7"/>
  <c r="AZ20" i="7"/>
  <c r="AV20" i="7"/>
  <c r="AR20" i="7"/>
  <c r="AN20" i="7"/>
  <c r="AJ20" i="7"/>
  <c r="AF20" i="7"/>
  <c r="AB20" i="7"/>
  <c r="X20" i="7"/>
  <c r="T20" i="7"/>
  <c r="P20" i="7"/>
  <c r="L20" i="7"/>
  <c r="H20" i="7"/>
  <c r="DS41" i="7"/>
  <c r="DH41" i="7"/>
  <c r="CX41" i="7"/>
  <c r="CM41" i="7"/>
  <c r="CB41" i="7"/>
  <c r="BR41" i="7"/>
  <c r="BG41" i="7"/>
  <c r="AV41" i="7"/>
  <c r="AL41" i="7"/>
  <c r="AA41" i="7"/>
  <c r="P41" i="7"/>
  <c r="F41" i="7"/>
  <c r="DK34" i="7"/>
  <c r="CZ34" i="7"/>
  <c r="CP34" i="7"/>
  <c r="CE34" i="7"/>
  <c r="BT34" i="7"/>
  <c r="BJ34" i="7"/>
  <c r="AY34" i="7"/>
  <c r="AN34" i="7"/>
  <c r="AD34" i="7"/>
  <c r="S34" i="7"/>
  <c r="H34" i="7"/>
  <c r="DN33" i="7"/>
  <c r="DC33" i="7"/>
  <c r="CR33" i="7"/>
  <c r="CH33" i="7"/>
  <c r="BW33" i="7"/>
  <c r="BL33" i="7"/>
  <c r="BB33" i="7"/>
  <c r="AQ33" i="7"/>
  <c r="AF33" i="7"/>
  <c r="V33" i="7"/>
  <c r="K33" i="7"/>
  <c r="DP32" i="7"/>
  <c r="DF32" i="7"/>
  <c r="CU32" i="7"/>
  <c r="CJ32" i="7"/>
  <c r="BZ32" i="7"/>
  <c r="BO32" i="7"/>
  <c r="BD32" i="7"/>
  <c r="AT32" i="7"/>
  <c r="AI32" i="7"/>
  <c r="X32" i="7"/>
  <c r="N32" i="7"/>
  <c r="DS31" i="7"/>
  <c r="DH31" i="7"/>
  <c r="DB31" i="7"/>
  <c r="CT31" i="7"/>
  <c r="CM31" i="7"/>
  <c r="CF31" i="7"/>
  <c r="BX31" i="7"/>
  <c r="BR31" i="7"/>
  <c r="BK31" i="7"/>
  <c r="BC31" i="7"/>
  <c r="AV31" i="7"/>
  <c r="AP31" i="7"/>
  <c r="AH31" i="7"/>
  <c r="AA31" i="7"/>
  <c r="V31" i="7"/>
  <c r="P31" i="7"/>
  <c r="K31" i="7"/>
  <c r="F31" i="7"/>
  <c r="DP30" i="7"/>
  <c r="DK30" i="7"/>
  <c r="DF30" i="7"/>
  <c r="CZ30" i="7"/>
  <c r="CU30" i="7"/>
  <c r="CP30" i="7"/>
  <c r="CJ30" i="7"/>
  <c r="CE30" i="7"/>
  <c r="BZ30" i="7"/>
  <c r="BT30" i="7"/>
  <c r="BO30" i="7"/>
  <c r="BJ30" i="7"/>
  <c r="BD30" i="7"/>
  <c r="AY30" i="7"/>
  <c r="AT30" i="7"/>
  <c r="AN30" i="7"/>
  <c r="AI30" i="7"/>
  <c r="AD30" i="7"/>
  <c r="X30" i="7"/>
  <c r="S30" i="7"/>
  <c r="N30" i="7"/>
  <c r="H30" i="7"/>
  <c r="DS29" i="7"/>
  <c r="DN29" i="7"/>
  <c r="DH29" i="7"/>
  <c r="DC29" i="7"/>
  <c r="CX29" i="7"/>
  <c r="CR29" i="7"/>
  <c r="CM29" i="7"/>
  <c r="CH29" i="7"/>
  <c r="CB29" i="7"/>
  <c r="BW29" i="7"/>
  <c r="BR29" i="7"/>
  <c r="BL29" i="7"/>
  <c r="BG29" i="7"/>
  <c r="BB29" i="7"/>
  <c r="AV29" i="7"/>
  <c r="AQ29" i="7"/>
  <c r="AL29" i="7"/>
  <c r="AF29" i="7"/>
  <c r="AA29" i="7"/>
  <c r="V29" i="7"/>
  <c r="P29" i="7"/>
  <c r="K29" i="7"/>
  <c r="F29" i="7"/>
  <c r="DP28" i="7"/>
  <c r="DK28" i="7"/>
  <c r="DF28" i="7"/>
  <c r="CZ28" i="7"/>
  <c r="CU28" i="7"/>
  <c r="CP28" i="7"/>
  <c r="CJ28" i="7"/>
  <c r="CE28" i="7"/>
  <c r="BZ28" i="7"/>
  <c r="BT28" i="7"/>
  <c r="BO28" i="7"/>
  <c r="BJ28" i="7"/>
  <c r="BD28" i="7"/>
  <c r="AY28" i="7"/>
  <c r="AT28" i="7"/>
  <c r="AN28" i="7"/>
  <c r="AI28" i="7"/>
  <c r="AD28" i="7"/>
  <c r="X28" i="7"/>
  <c r="S28" i="7"/>
  <c r="N28" i="7"/>
  <c r="H28" i="7"/>
  <c r="DS27" i="7"/>
  <c r="DN27" i="7"/>
  <c r="DH27" i="7"/>
  <c r="DC27" i="7"/>
  <c r="CX27" i="7"/>
  <c r="CR27" i="7"/>
  <c r="CM27" i="7"/>
  <c r="CH27" i="7"/>
  <c r="CB27" i="7"/>
  <c r="BW27" i="7"/>
  <c r="BR27" i="7"/>
  <c r="BL27" i="7"/>
  <c r="BG27" i="7"/>
  <c r="BB27" i="7"/>
  <c r="AV27" i="7"/>
  <c r="AQ27" i="7"/>
  <c r="AL27" i="7"/>
  <c r="AF27" i="7"/>
  <c r="AA27" i="7"/>
  <c r="V27" i="7"/>
  <c r="P27" i="7"/>
  <c r="K27" i="7"/>
  <c r="F27" i="7"/>
  <c r="DP26" i="7"/>
  <c r="DK26" i="7"/>
  <c r="DF26" i="7"/>
  <c r="CZ26" i="7"/>
  <c r="CU26" i="7"/>
  <c r="CP26" i="7"/>
  <c r="CJ26" i="7"/>
  <c r="CE26" i="7"/>
  <c r="BZ26" i="7"/>
  <c r="BT26" i="7"/>
  <c r="BO26" i="7"/>
  <c r="BK26" i="7"/>
  <c r="BG26" i="7"/>
  <c r="BC26" i="7"/>
  <c r="AY26" i="7"/>
  <c r="AU26" i="7"/>
  <c r="AQ26" i="7"/>
  <c r="AM26" i="7"/>
  <c r="AI26" i="7"/>
  <c r="AE26" i="7"/>
  <c r="AA26" i="7"/>
  <c r="W26" i="7"/>
  <c r="S26" i="7"/>
  <c r="O26" i="7"/>
  <c r="K26" i="7"/>
  <c r="G26" i="7"/>
  <c r="DS25" i="7"/>
  <c r="DO25" i="7"/>
  <c r="DK25" i="7"/>
  <c r="DG25" i="7"/>
  <c r="DC25" i="7"/>
  <c r="CY25" i="7"/>
  <c r="CU25" i="7"/>
  <c r="CQ25" i="7"/>
  <c r="CM25" i="7"/>
  <c r="CI25" i="7"/>
  <c r="CE25" i="7"/>
  <c r="CA25" i="7"/>
  <c r="BW25" i="7"/>
  <c r="BS25" i="7"/>
  <c r="BO25" i="7"/>
  <c r="BK25" i="7"/>
  <c r="BG25" i="7"/>
  <c r="BC25" i="7"/>
  <c r="AY25" i="7"/>
  <c r="AU25" i="7"/>
  <c r="AQ25" i="7"/>
  <c r="AM25" i="7"/>
  <c r="AI25" i="7"/>
  <c r="AE25" i="7"/>
  <c r="AA25" i="7"/>
  <c r="W25" i="7"/>
  <c r="S25" i="7"/>
  <c r="O25" i="7"/>
  <c r="K25" i="7"/>
  <c r="G25" i="7"/>
  <c r="DS24" i="7"/>
  <c r="DO24" i="7"/>
  <c r="DK24" i="7"/>
  <c r="DG24" i="7"/>
  <c r="DC24" i="7"/>
  <c r="CY24" i="7"/>
  <c r="CU24" i="7"/>
  <c r="CQ24" i="7"/>
  <c r="CM24" i="7"/>
  <c r="CI24" i="7"/>
  <c r="CE24" i="7"/>
  <c r="CA24" i="7"/>
  <c r="BW24" i="7"/>
  <c r="BS24" i="7"/>
  <c r="BO24" i="7"/>
  <c r="BK24" i="7"/>
  <c r="BG24" i="7"/>
  <c r="BC24" i="7"/>
  <c r="AY24" i="7"/>
  <c r="AU24" i="7"/>
  <c r="AQ24" i="7"/>
  <c r="AM24" i="7"/>
  <c r="AI24" i="7"/>
  <c r="AE24" i="7"/>
  <c r="AA24" i="7"/>
  <c r="W24" i="7"/>
  <c r="S24" i="7"/>
  <c r="O24" i="7"/>
  <c r="K24" i="7"/>
  <c r="G24" i="7"/>
  <c r="DS23" i="7"/>
  <c r="DO23" i="7"/>
  <c r="DK23" i="7"/>
  <c r="DG23" i="7"/>
  <c r="DC23" i="7"/>
  <c r="CY23" i="7"/>
  <c r="CU23" i="7"/>
  <c r="CQ23" i="7"/>
  <c r="CM23" i="7"/>
  <c r="CI23" i="7"/>
  <c r="CE23" i="7"/>
  <c r="CA23" i="7"/>
  <c r="BW23" i="7"/>
  <c r="BS23" i="7"/>
  <c r="BO23" i="7"/>
  <c r="BK23" i="7"/>
  <c r="BG23" i="7"/>
  <c r="BC23" i="7"/>
  <c r="AY23" i="7"/>
  <c r="AU23" i="7"/>
  <c r="AQ23" i="7"/>
  <c r="AM23" i="7"/>
  <c r="AI23" i="7"/>
  <c r="AE23" i="7"/>
  <c r="AA23" i="7"/>
  <c r="W23" i="7"/>
  <c r="S23" i="7"/>
  <c r="O23" i="7"/>
  <c r="K23" i="7"/>
  <c r="G23" i="7"/>
  <c r="DS22" i="7"/>
  <c r="DO22" i="7"/>
  <c r="DK22" i="7"/>
  <c r="DG22" i="7"/>
  <c r="DC22" i="7"/>
  <c r="CY22" i="7"/>
  <c r="CU22" i="7"/>
  <c r="CQ22" i="7"/>
  <c r="CM22" i="7"/>
  <c r="CI22" i="7"/>
  <c r="CE22" i="7"/>
  <c r="CA22" i="7"/>
  <c r="BW22" i="7"/>
  <c r="BS22" i="7"/>
  <c r="BO22" i="7"/>
  <c r="BK22" i="7"/>
  <c r="BG22" i="7"/>
  <c r="BC22" i="7"/>
  <c r="AY22" i="7"/>
  <c r="AU22" i="7"/>
  <c r="AQ22" i="7"/>
  <c r="AM22" i="7"/>
  <c r="AI22" i="7"/>
  <c r="AE22" i="7"/>
  <c r="AA22" i="7"/>
  <c r="W22" i="7"/>
  <c r="S22" i="7"/>
  <c r="O22" i="7"/>
  <c r="K22" i="7"/>
  <c r="G22" i="7"/>
  <c r="DS21" i="7"/>
  <c r="DO21" i="7"/>
  <c r="DK21" i="7"/>
  <c r="DG21" i="7"/>
  <c r="DC21" i="7"/>
  <c r="CY21" i="7"/>
  <c r="CU21" i="7"/>
  <c r="CQ21" i="7"/>
  <c r="CM21" i="7"/>
  <c r="CI21" i="7"/>
  <c r="CE21" i="7"/>
  <c r="CA21" i="7"/>
  <c r="BW21" i="7"/>
  <c r="BS21" i="7"/>
  <c r="BO21" i="7"/>
  <c r="BK21" i="7"/>
  <c r="BG21" i="7"/>
  <c r="BC21" i="7"/>
  <c r="AY21" i="7"/>
  <c r="AU21" i="7"/>
  <c r="AQ21" i="7"/>
  <c r="AM21" i="7"/>
  <c r="AI21" i="7"/>
  <c r="AE21" i="7"/>
  <c r="AA21" i="7"/>
  <c r="W21" i="7"/>
  <c r="S21" i="7"/>
  <c r="O21" i="7"/>
  <c r="K21" i="7"/>
  <c r="G21" i="7"/>
  <c r="DS20" i="7"/>
  <c r="DO20" i="7"/>
  <c r="DK20" i="7"/>
  <c r="DG20" i="7"/>
  <c r="DC20" i="7"/>
  <c r="CY20" i="7"/>
  <c r="CU20" i="7"/>
  <c r="CQ20" i="7"/>
  <c r="CM20" i="7"/>
  <c r="CI20" i="7"/>
  <c r="CE20" i="7"/>
  <c r="CA20" i="7"/>
  <c r="BW20" i="7"/>
  <c r="BS20" i="7"/>
  <c r="BO20" i="7"/>
  <c r="BK20" i="7"/>
  <c r="BG20" i="7"/>
  <c r="BC20" i="7"/>
  <c r="AY20" i="7"/>
  <c r="AU20" i="7"/>
  <c r="AQ20" i="7"/>
  <c r="AM20" i="7"/>
  <c r="AI20" i="7"/>
  <c r="AE20" i="7"/>
  <c r="AA20" i="7"/>
  <c r="W20" i="7"/>
  <c r="S20" i="7"/>
  <c r="O20" i="7"/>
  <c r="K20" i="7"/>
  <c r="G20" i="7"/>
  <c r="DD41" i="7"/>
  <c r="CI41" i="7"/>
  <c r="BN41" i="7"/>
  <c r="AR41" i="7"/>
  <c r="W41" i="7"/>
  <c r="DG34" i="7"/>
  <c r="CL34" i="7"/>
  <c r="BP34" i="7"/>
  <c r="AU34" i="7"/>
  <c r="Z34" i="7"/>
  <c r="D34" i="7"/>
  <c r="CY33" i="7"/>
  <c r="CD33" i="7"/>
  <c r="BH33" i="7"/>
  <c r="AM33" i="7"/>
  <c r="R33" i="7"/>
  <c r="DL32" i="7"/>
  <c r="CQ32" i="7"/>
  <c r="BV32" i="7"/>
  <c r="AZ32" i="7"/>
  <c r="AE32" i="7"/>
  <c r="J32" i="7"/>
  <c r="DG31" i="7"/>
  <c r="CR31" i="7"/>
  <c r="CD31" i="7"/>
  <c r="BP31" i="7"/>
  <c r="BB31" i="7"/>
  <c r="AM31" i="7"/>
  <c r="Z31" i="7"/>
  <c r="O31" i="7"/>
  <c r="D31" i="7"/>
  <c r="DJ30" i="7"/>
  <c r="CY30" i="7"/>
  <c r="CN30" i="7"/>
  <c r="CD30" i="7"/>
  <c r="BS30" i="7"/>
  <c r="BH30" i="7"/>
  <c r="AX30" i="7"/>
  <c r="AM30" i="7"/>
  <c r="AB30" i="7"/>
  <c r="R30" i="7"/>
  <c r="G30" i="7"/>
  <c r="DL29" i="7"/>
  <c r="DB29" i="7"/>
  <c r="CQ29" i="7"/>
  <c r="CF29" i="7"/>
  <c r="BV29" i="7"/>
  <c r="BK29" i="7"/>
  <c r="AZ29" i="7"/>
  <c r="AP29" i="7"/>
  <c r="AE29" i="7"/>
  <c r="T29" i="7"/>
  <c r="J29" i="7"/>
  <c r="DO28" i="7"/>
  <c r="DD28" i="7"/>
  <c r="CT28" i="7"/>
  <c r="CI28" i="7"/>
  <c r="BX28" i="7"/>
  <c r="BN28" i="7"/>
  <c r="BC28" i="7"/>
  <c r="AR28" i="7"/>
  <c r="AH28" i="7"/>
  <c r="W28" i="7"/>
  <c r="L28" i="7"/>
  <c r="DR27" i="7"/>
  <c r="DG27" i="7"/>
  <c r="CV27" i="7"/>
  <c r="CL27" i="7"/>
  <c r="CA27" i="7"/>
  <c r="BP27" i="7"/>
  <c r="BF27" i="7"/>
  <c r="AU27" i="7"/>
  <c r="AJ27" i="7"/>
  <c r="Z27" i="7"/>
  <c r="O27" i="7"/>
  <c r="D27" i="7"/>
  <c r="DJ26" i="7"/>
  <c r="CY26" i="7"/>
  <c r="CN26" i="7"/>
  <c r="CD26" i="7"/>
  <c r="BS26" i="7"/>
  <c r="BJ26" i="7"/>
  <c r="BB26" i="7"/>
  <c r="AT26" i="7"/>
  <c r="AL26" i="7"/>
  <c r="AD26" i="7"/>
  <c r="V26" i="7"/>
  <c r="N26" i="7"/>
  <c r="F26" i="7"/>
  <c r="DN25" i="7"/>
  <c r="DF25" i="7"/>
  <c r="CX25" i="7"/>
  <c r="CP25" i="7"/>
  <c r="CH25" i="7"/>
  <c r="BZ25" i="7"/>
  <c r="BR25" i="7"/>
  <c r="BJ25" i="7"/>
  <c r="BB25" i="7"/>
  <c r="AT25" i="7"/>
  <c r="AL25" i="7"/>
  <c r="AD25" i="7"/>
  <c r="V25" i="7"/>
  <c r="N25" i="7"/>
  <c r="F25" i="7"/>
  <c r="DN24" i="7"/>
  <c r="DF24" i="7"/>
  <c r="CX24" i="7"/>
  <c r="CP24" i="7"/>
  <c r="CH24" i="7"/>
  <c r="BZ24" i="7"/>
  <c r="BR24" i="7"/>
  <c r="BJ24" i="7"/>
  <c r="BB24" i="7"/>
  <c r="AT24" i="7"/>
  <c r="AL24" i="7"/>
  <c r="AD24" i="7"/>
  <c r="V24" i="7"/>
  <c r="N24" i="7"/>
  <c r="F24" i="7"/>
  <c r="DN23" i="7"/>
  <c r="DF23" i="7"/>
  <c r="CX23" i="7"/>
  <c r="CP23" i="7"/>
  <c r="CH23" i="7"/>
  <c r="BZ23" i="7"/>
  <c r="BR23" i="7"/>
  <c r="BJ23" i="7"/>
  <c r="BB23" i="7"/>
  <c r="AT23" i="7"/>
  <c r="AL23" i="7"/>
  <c r="AD23" i="7"/>
  <c r="V23" i="7"/>
  <c r="N23" i="7"/>
  <c r="F23" i="7"/>
  <c r="DN22" i="7"/>
  <c r="DF22" i="7"/>
  <c r="CX22" i="7"/>
  <c r="CP22" i="7"/>
  <c r="CH22" i="7"/>
  <c r="BZ22" i="7"/>
  <c r="BR22" i="7"/>
  <c r="BJ22" i="7"/>
  <c r="BB22" i="7"/>
  <c r="AT22" i="7"/>
  <c r="AL22" i="7"/>
  <c r="AD22" i="7"/>
  <c r="V22" i="7"/>
  <c r="N22" i="7"/>
  <c r="F22" i="7"/>
  <c r="DN21" i="7"/>
  <c r="DF21" i="7"/>
  <c r="CX21" i="7"/>
  <c r="CP21" i="7"/>
  <c r="CH21" i="7"/>
  <c r="BZ21" i="7"/>
  <c r="BR21" i="7"/>
  <c r="BJ21" i="7"/>
  <c r="BB21" i="7"/>
  <c r="AT21" i="7"/>
  <c r="AL21" i="7"/>
  <c r="AD21" i="7"/>
  <c r="V21" i="7"/>
  <c r="N21" i="7"/>
  <c r="F21" i="7"/>
  <c r="DN20" i="7"/>
  <c r="DF20" i="7"/>
  <c r="CX20" i="7"/>
  <c r="CP20" i="7"/>
  <c r="CH20" i="7"/>
  <c r="BZ20" i="7"/>
  <c r="BR20" i="7"/>
  <c r="BJ20" i="7"/>
  <c r="BB20" i="7"/>
  <c r="AT20" i="7"/>
  <c r="AL20" i="7"/>
  <c r="AD20" i="7"/>
  <c r="V20" i="7"/>
  <c r="N20" i="7"/>
  <c r="F20" i="7"/>
  <c r="DC41" i="7"/>
  <c r="CH41" i="7"/>
  <c r="BL41" i="7"/>
  <c r="AQ41" i="7"/>
  <c r="V41" i="7"/>
  <c r="DF34" i="7"/>
  <c r="CJ34" i="7"/>
  <c r="BO34" i="7"/>
  <c r="AT34" i="7"/>
  <c r="X34" i="7"/>
  <c r="DS33" i="7"/>
  <c r="CX33" i="7"/>
  <c r="CB33" i="7"/>
  <c r="BG33" i="7"/>
  <c r="AL33" i="7"/>
  <c r="P33" i="7"/>
  <c r="DK32" i="7"/>
  <c r="CP32" i="7"/>
  <c r="BT32" i="7"/>
  <c r="AY32" i="7"/>
  <c r="AD32" i="7"/>
  <c r="H32" i="7"/>
  <c r="DD31" i="7"/>
  <c r="CQ31" i="7"/>
  <c r="CB31" i="7"/>
  <c r="BN31" i="7"/>
  <c r="AZ31" i="7"/>
  <c r="AL31" i="7"/>
  <c r="X31" i="7"/>
  <c r="N31" i="7"/>
  <c r="DS30" i="7"/>
  <c r="DH30" i="7"/>
  <c r="CX30" i="7"/>
  <c r="CM30" i="7"/>
  <c r="CB30" i="7"/>
  <c r="BR30" i="7"/>
  <c r="BG30" i="7"/>
  <c r="AV30" i="7"/>
  <c r="AL30" i="7"/>
  <c r="AA30" i="7"/>
  <c r="P30" i="7"/>
  <c r="F30" i="7"/>
  <c r="DK29" i="7"/>
  <c r="CZ29" i="7"/>
  <c r="CP29" i="7"/>
  <c r="CE29" i="7"/>
  <c r="BT29" i="7"/>
  <c r="BJ29" i="7"/>
  <c r="AY29" i="7"/>
  <c r="AN29" i="7"/>
  <c r="AD29" i="7"/>
  <c r="S29" i="7"/>
  <c r="H29" i="7"/>
  <c r="DN28" i="7"/>
  <c r="DC28" i="7"/>
  <c r="CR28" i="7"/>
  <c r="CH28" i="7"/>
  <c r="BW28" i="7"/>
  <c r="BL28" i="7"/>
  <c r="BB28" i="7"/>
  <c r="AQ28" i="7"/>
  <c r="AF28" i="7"/>
  <c r="V28" i="7"/>
  <c r="K28" i="7"/>
  <c r="DP27" i="7"/>
  <c r="DF27" i="7"/>
  <c r="CU27" i="7"/>
  <c r="CJ27" i="7"/>
  <c r="BZ27" i="7"/>
  <c r="BO27" i="7"/>
  <c r="BD27" i="7"/>
  <c r="AT27" i="7"/>
  <c r="AI27" i="7"/>
  <c r="X27" i="7"/>
  <c r="N27" i="7"/>
  <c r="DS26" i="7"/>
  <c r="DH26" i="7"/>
  <c r="CX26" i="7"/>
  <c r="CM26" i="7"/>
  <c r="CB26" i="7"/>
  <c r="BR26" i="7"/>
  <c r="BI26" i="7"/>
  <c r="BA26" i="7"/>
  <c r="AS26" i="7"/>
  <c r="AK26" i="7"/>
  <c r="AC26" i="7"/>
  <c r="U26" i="7"/>
  <c r="M26" i="7"/>
  <c r="E26" i="7"/>
  <c r="DM25" i="7"/>
  <c r="DE25" i="7"/>
  <c r="CW25" i="7"/>
  <c r="CO25" i="7"/>
  <c r="CG25" i="7"/>
  <c r="BY25" i="7"/>
  <c r="BQ25" i="7"/>
  <c r="BI25" i="7"/>
  <c r="BA25" i="7"/>
  <c r="AS25" i="7"/>
  <c r="AK25" i="7"/>
  <c r="AC25" i="7"/>
  <c r="U25" i="7"/>
  <c r="M25" i="7"/>
  <c r="E25" i="7"/>
  <c r="DM24" i="7"/>
  <c r="DE24" i="7"/>
  <c r="CW24" i="7"/>
  <c r="CO24" i="7"/>
  <c r="CG24" i="7"/>
  <c r="BY24" i="7"/>
  <c r="BQ24" i="7"/>
  <c r="BI24" i="7"/>
  <c r="BA24" i="7"/>
  <c r="AS24" i="7"/>
  <c r="AK24" i="7"/>
  <c r="AC24" i="7"/>
  <c r="U24" i="7"/>
  <c r="M24" i="7"/>
  <c r="E24" i="7"/>
  <c r="DM23" i="7"/>
  <c r="DE23" i="7"/>
  <c r="CW23" i="7"/>
  <c r="CO23" i="7"/>
  <c r="CG23" i="7"/>
  <c r="BY23" i="7"/>
  <c r="BQ23" i="7"/>
  <c r="BI23" i="7"/>
  <c r="BA23" i="7"/>
  <c r="AS23" i="7"/>
  <c r="AK23" i="7"/>
  <c r="AC23" i="7"/>
  <c r="U23" i="7"/>
  <c r="M23" i="7"/>
  <c r="E23" i="7"/>
  <c r="DM22" i="7"/>
  <c r="DE22" i="7"/>
  <c r="CW22" i="7"/>
  <c r="DO41" i="7"/>
  <c r="CT41" i="7"/>
  <c r="BX41" i="7"/>
  <c r="BC41" i="7"/>
  <c r="AH41" i="7"/>
  <c r="L41" i="7"/>
  <c r="DR34" i="7"/>
  <c r="CV34" i="7"/>
  <c r="CA34" i="7"/>
  <c r="BF34" i="7"/>
  <c r="AJ34" i="7"/>
  <c r="O34" i="7"/>
  <c r="DJ33" i="7"/>
  <c r="CN33" i="7"/>
  <c r="BS33" i="7"/>
  <c r="AX33" i="7"/>
  <c r="AB33" i="7"/>
  <c r="G33" i="7"/>
  <c r="DB32" i="7"/>
  <c r="CF32" i="7"/>
  <c r="BK32" i="7"/>
  <c r="AP32" i="7"/>
  <c r="T32" i="7"/>
  <c r="DO31" i="7"/>
  <c r="CY31" i="7"/>
  <c r="CL31" i="7"/>
  <c r="BW31" i="7"/>
  <c r="BH31" i="7"/>
  <c r="AU31" i="7"/>
  <c r="AF31" i="7"/>
  <c r="T31" i="7"/>
  <c r="J31" i="7"/>
  <c r="DO30" i="7"/>
  <c r="DD30" i="7"/>
  <c r="CT30" i="7"/>
  <c r="CI30" i="7"/>
  <c r="BX30" i="7"/>
  <c r="BN30" i="7"/>
  <c r="BC30" i="7"/>
  <c r="AR30" i="7"/>
  <c r="AH30" i="7"/>
  <c r="W30" i="7"/>
  <c r="L30" i="7"/>
  <c r="DR29" i="7"/>
  <c r="DG29" i="7"/>
  <c r="CV29" i="7"/>
  <c r="CL29" i="7"/>
  <c r="CA29" i="7"/>
  <c r="BP29" i="7"/>
  <c r="BF29" i="7"/>
  <c r="AU29" i="7"/>
  <c r="AJ29" i="7"/>
  <c r="Z29" i="7"/>
  <c r="O29" i="7"/>
  <c r="D29" i="7"/>
  <c r="DJ28" i="7"/>
  <c r="CY28" i="7"/>
  <c r="CN28" i="7"/>
  <c r="CD28" i="7"/>
  <c r="BS28" i="7"/>
  <c r="BH28" i="7"/>
  <c r="AX28" i="7"/>
  <c r="AM28" i="7"/>
  <c r="AB28" i="7"/>
  <c r="R28" i="7"/>
  <c r="G28" i="7"/>
  <c r="DL27" i="7"/>
  <c r="DB27" i="7"/>
  <c r="CQ27" i="7"/>
  <c r="CF27" i="7"/>
  <c r="BV27" i="7"/>
  <c r="BK27" i="7"/>
  <c r="AZ27" i="7"/>
  <c r="AP27" i="7"/>
  <c r="AE27" i="7"/>
  <c r="T27" i="7"/>
  <c r="J27" i="7"/>
  <c r="DO26" i="7"/>
  <c r="DD26" i="7"/>
  <c r="CT26" i="7"/>
  <c r="CI26" i="7"/>
  <c r="BX26" i="7"/>
  <c r="BN26" i="7"/>
  <c r="BF26" i="7"/>
  <c r="AX26" i="7"/>
  <c r="AP26" i="7"/>
  <c r="AH26" i="7"/>
  <c r="Z26" i="7"/>
  <c r="R26" i="7"/>
  <c r="J26" i="7"/>
  <c r="C7" i="18"/>
  <c r="B7" i="18"/>
  <c r="A32" i="15"/>
  <c r="A28" i="15"/>
  <c r="A31" i="15"/>
  <c r="A33" i="15"/>
  <c r="A34" i="15"/>
  <c r="A29" i="15"/>
  <c r="A30" i="15"/>
  <c r="DP15" i="7"/>
  <c r="DL15" i="7"/>
  <c r="DH15" i="7"/>
  <c r="DD15" i="7"/>
  <c r="CZ15" i="7"/>
  <c r="CV15" i="7"/>
  <c r="CR15" i="7"/>
  <c r="CN15" i="7"/>
  <c r="CJ15" i="7"/>
  <c r="CF15" i="7"/>
  <c r="CB15" i="7"/>
  <c r="BX15" i="7"/>
  <c r="BT15" i="7"/>
  <c r="BP15" i="7"/>
  <c r="BL15" i="7"/>
  <c r="BH15" i="7"/>
  <c r="BD15" i="7"/>
  <c r="AZ15" i="7"/>
  <c r="AV15" i="7"/>
  <c r="AR15" i="7"/>
  <c r="AN15" i="7"/>
  <c r="AJ15" i="7"/>
  <c r="AF15" i="7"/>
  <c r="AB15" i="7"/>
  <c r="X15" i="7"/>
  <c r="T15" i="7"/>
  <c r="P15" i="7"/>
  <c r="L15" i="7"/>
  <c r="H15" i="7"/>
  <c r="D15" i="7"/>
  <c r="DP10" i="7"/>
  <c r="DP11" i="7" s="1"/>
  <c r="DL10" i="7"/>
  <c r="DL11" i="7" s="1"/>
  <c r="DH10" i="7"/>
  <c r="DH11" i="7" s="1"/>
  <c r="DD10" i="7"/>
  <c r="DD11" i="7" s="1"/>
  <c r="CZ10" i="7"/>
  <c r="CZ11" i="7" s="1"/>
  <c r="CV10" i="7"/>
  <c r="CV11" i="7" s="1"/>
  <c r="CR10" i="7"/>
  <c r="CR11" i="7" s="1"/>
  <c r="CN10" i="7"/>
  <c r="CN11" i="7" s="1"/>
  <c r="CJ10" i="7"/>
  <c r="CJ11" i="7" s="1"/>
  <c r="CF10" i="7"/>
  <c r="CF11" i="7" s="1"/>
  <c r="CB10" i="7"/>
  <c r="CB11" i="7" s="1"/>
  <c r="BX10" i="7"/>
  <c r="BX11" i="7" s="1"/>
  <c r="BT10" i="7"/>
  <c r="BT11" i="7" s="1"/>
  <c r="BP10" i="7"/>
  <c r="BP11" i="7" s="1"/>
  <c r="BL10" i="7"/>
  <c r="BL11" i="7" s="1"/>
  <c r="BH10" i="7"/>
  <c r="BH11" i="7" s="1"/>
  <c r="BD10" i="7"/>
  <c r="BD11" i="7" s="1"/>
  <c r="AZ10" i="7"/>
  <c r="AZ11" i="7" s="1"/>
  <c r="AV10" i="7"/>
  <c r="AV11" i="7" s="1"/>
  <c r="AR10" i="7"/>
  <c r="AR11" i="7" s="1"/>
  <c r="AN10" i="7"/>
  <c r="AN11" i="7" s="1"/>
  <c r="AJ10" i="7"/>
  <c r="AJ11" i="7" s="1"/>
  <c r="AF10" i="7"/>
  <c r="AF11" i="7" s="1"/>
  <c r="AB10" i="7"/>
  <c r="AB11" i="7" s="1"/>
  <c r="X10" i="7"/>
  <c r="X11" i="7" s="1"/>
  <c r="T10" i="7"/>
  <c r="T11" i="7" s="1"/>
  <c r="P10" i="7"/>
  <c r="P11" i="7" s="1"/>
  <c r="L10" i="7"/>
  <c r="L11" i="7" s="1"/>
  <c r="H10" i="7"/>
  <c r="H11" i="7" s="1"/>
  <c r="F84" i="3"/>
  <c r="DS15" i="7"/>
  <c r="DO15" i="7"/>
  <c r="DK15" i="7"/>
  <c r="DG15" i="7"/>
  <c r="DC15" i="7"/>
  <c r="CY15" i="7"/>
  <c r="CU15" i="7"/>
  <c r="CQ15" i="7"/>
  <c r="CM15" i="7"/>
  <c r="CI15" i="7"/>
  <c r="CE15" i="7"/>
  <c r="CA15" i="7"/>
  <c r="BW15" i="7"/>
  <c r="BS15" i="7"/>
  <c r="BO15" i="7"/>
  <c r="BK15" i="7"/>
  <c r="BG15" i="7"/>
  <c r="BC15" i="7"/>
  <c r="AY15" i="7"/>
  <c r="AU15" i="7"/>
  <c r="AQ15" i="7"/>
  <c r="AM15" i="7"/>
  <c r="AI15" i="7"/>
  <c r="AE15" i="7"/>
  <c r="AA15" i="7"/>
  <c r="W15" i="7"/>
  <c r="S15" i="7"/>
  <c r="O15" i="7"/>
  <c r="K15" i="7"/>
  <c r="G15" i="7"/>
  <c r="DN15" i="7"/>
  <c r="DF15" i="7"/>
  <c r="CX15" i="7"/>
  <c r="CP15" i="7"/>
  <c r="CH15" i="7"/>
  <c r="BZ15" i="7"/>
  <c r="BR15" i="7"/>
  <c r="BJ15" i="7"/>
  <c r="BB15" i="7"/>
  <c r="AT15" i="7"/>
  <c r="AL15" i="7"/>
  <c r="AD15" i="7"/>
  <c r="V15" i="7"/>
  <c r="N15" i="7"/>
  <c r="F15" i="7"/>
  <c r="DP6" i="7"/>
  <c r="DL6" i="7"/>
  <c r="DH6" i="7"/>
  <c r="DD6" i="7"/>
  <c r="CZ6" i="7"/>
  <c r="CV6" i="7"/>
  <c r="CR6" i="7"/>
  <c r="CN6" i="7"/>
  <c r="CJ6" i="7"/>
  <c r="CF6" i="7"/>
  <c r="CB6" i="7"/>
  <c r="BX6" i="7"/>
  <c r="BT6" i="7"/>
  <c r="BP6" i="7"/>
  <c r="BL6" i="7"/>
  <c r="BH6" i="7"/>
  <c r="BD6" i="7"/>
  <c r="AZ6" i="7"/>
  <c r="AV6" i="7"/>
  <c r="AR6" i="7"/>
  <c r="AN6" i="7"/>
  <c r="AJ6" i="7"/>
  <c r="AF6" i="7"/>
  <c r="AB6" i="7"/>
  <c r="X6" i="7"/>
  <c r="T6" i="7"/>
  <c r="P6" i="7"/>
  <c r="L6" i="7"/>
  <c r="H6" i="7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G6" i="7"/>
  <c r="M6" i="7"/>
  <c r="R6" i="7"/>
  <c r="W6" i="7"/>
  <c r="AC6" i="7"/>
  <c r="AH6" i="7"/>
  <c r="AM6" i="7"/>
  <c r="AS6" i="7"/>
  <c r="AX6" i="7"/>
  <c r="BC6" i="7"/>
  <c r="BI6" i="7"/>
  <c r="BN6" i="7"/>
  <c r="BS6" i="7"/>
  <c r="BY6" i="7"/>
  <c r="CD6" i="7"/>
  <c r="CI6" i="7"/>
  <c r="CO6" i="7"/>
  <c r="CT6" i="7"/>
  <c r="CY6" i="7"/>
  <c r="DE6" i="7"/>
  <c r="DJ6" i="7"/>
  <c r="DO6" i="7"/>
  <c r="DG16" i="7"/>
  <c r="E10" i="7"/>
  <c r="E11" i="7" s="1"/>
  <c r="J10" i="7"/>
  <c r="O10" i="7"/>
  <c r="U10" i="7"/>
  <c r="U11" i="7" s="1"/>
  <c r="Z10" i="7"/>
  <c r="Z11" i="7" s="1"/>
  <c r="AE10" i="7"/>
  <c r="AK10" i="7"/>
  <c r="AP10" i="7"/>
  <c r="AP11" i="7" s="1"/>
  <c r="AU10" i="7"/>
  <c r="AU11" i="7" s="1"/>
  <c r="BA10" i="7"/>
  <c r="BF10" i="7"/>
  <c r="BK10" i="7"/>
  <c r="BK11" i="7" s="1"/>
  <c r="BQ10" i="7"/>
  <c r="BQ11" i="7" s="1"/>
  <c r="BV10" i="7"/>
  <c r="CA10" i="7"/>
  <c r="CA11" i="7" s="1"/>
  <c r="CG10" i="7"/>
  <c r="CG11" i="7" s="1"/>
  <c r="CL10" i="7"/>
  <c r="CL11" i="7" s="1"/>
  <c r="CQ10" i="7"/>
  <c r="CW10" i="7"/>
  <c r="CW11" i="7" s="1"/>
  <c r="DB10" i="7"/>
  <c r="DB11" i="7" s="1"/>
  <c r="DG10" i="7"/>
  <c r="DG11" i="7" s="1"/>
  <c r="DM10" i="7"/>
  <c r="DR10" i="7"/>
  <c r="DR11" i="7" s="1"/>
  <c r="I15" i="7"/>
  <c r="R15" i="7"/>
  <c r="AC15" i="7"/>
  <c r="AO15" i="7"/>
  <c r="AX15" i="7"/>
  <c r="BI15" i="7"/>
  <c r="BU15" i="7"/>
  <c r="CD15" i="7"/>
  <c r="CO15" i="7"/>
  <c r="DA15" i="7"/>
  <c r="DJ15" i="7"/>
  <c r="I20" i="7"/>
  <c r="R20" i="7"/>
  <c r="AC20" i="7"/>
  <c r="AO20" i="7"/>
  <c r="AX20" i="7"/>
  <c r="BI20" i="7"/>
  <c r="BU20" i="7"/>
  <c r="CD20" i="7"/>
  <c r="CO20" i="7"/>
  <c r="DA20" i="7"/>
  <c r="DJ20" i="7"/>
  <c r="E21" i="7"/>
  <c r="Q21" i="7"/>
  <c r="Z21" i="7"/>
  <c r="AK21" i="7"/>
  <c r="AW21" i="7"/>
  <c r="BF21" i="7"/>
  <c r="BQ21" i="7"/>
  <c r="CC21" i="7"/>
  <c r="CL21" i="7"/>
  <c r="CW21" i="7"/>
  <c r="DI21" i="7"/>
  <c r="DR21" i="7"/>
  <c r="M22" i="7"/>
  <c r="Y22" i="7"/>
  <c r="AH22" i="7"/>
  <c r="AS22" i="7"/>
  <c r="BE22" i="7"/>
  <c r="BN22" i="7"/>
  <c r="BY22" i="7"/>
  <c r="CK22" i="7"/>
  <c r="CT22" i="7"/>
  <c r="DJ22" i="7"/>
  <c r="J23" i="7"/>
  <c r="Z23" i="7"/>
  <c r="AP23" i="7"/>
  <c r="BF23" i="7"/>
  <c r="BV23" i="7"/>
  <c r="CL23" i="7"/>
  <c r="DB23" i="7"/>
  <c r="DR23" i="7"/>
  <c r="R24" i="7"/>
  <c r="AH24" i="7"/>
  <c r="AX24" i="7"/>
  <c r="BN24" i="7"/>
  <c r="CD24" i="7"/>
  <c r="CT24" i="7"/>
  <c r="DJ24" i="7"/>
  <c r="J25" i="7"/>
  <c r="Z25" i="7"/>
  <c r="AP25" i="7"/>
  <c r="BF25" i="7"/>
  <c r="BV25" i="7"/>
  <c r="CL25" i="7"/>
  <c r="DB25" i="7"/>
  <c r="DR25" i="7"/>
  <c r="AG26" i="7"/>
  <c r="BM26" i="7"/>
  <c r="DC26" i="7"/>
  <c r="AD27" i="7"/>
  <c r="BT27" i="7"/>
  <c r="DK27" i="7"/>
  <c r="AL28" i="7"/>
  <c r="CB28" i="7"/>
  <c r="DS28" i="7"/>
  <c r="AT29" i="7"/>
  <c r="CJ29" i="7"/>
  <c r="K30" i="7"/>
  <c r="BB30" i="7"/>
  <c r="CR30" i="7"/>
  <c r="S31" i="7"/>
  <c r="BV31" i="7"/>
  <c r="S32" i="7"/>
  <c r="CZ32" i="7"/>
  <c r="BR33" i="7"/>
  <c r="AI34" i="7"/>
  <c r="DP34" i="7"/>
  <c r="AF41" i="7"/>
  <c r="DN41" i="7"/>
  <c r="D9" i="13"/>
  <c r="L9" i="13"/>
  <c r="H5" i="14"/>
  <c r="K6" i="15"/>
  <c r="I9" i="15"/>
  <c r="K10" i="15"/>
  <c r="I17" i="15"/>
  <c r="K18" i="15"/>
  <c r="I21" i="15"/>
  <c r="I23" i="15"/>
  <c r="K28" i="15"/>
  <c r="J33" i="15"/>
  <c r="K40" i="15"/>
  <c r="I42" i="15"/>
  <c r="J53" i="15"/>
  <c r="K62" i="15"/>
  <c r="P23" i="16"/>
  <c r="O22" i="16"/>
  <c r="R21" i="16"/>
  <c r="N21" i="16"/>
  <c r="I66" i="15"/>
  <c r="J65" i="15"/>
  <c r="K64" i="15"/>
  <c r="L63" i="15"/>
  <c r="H63" i="15"/>
  <c r="I62" i="15"/>
  <c r="J61" i="15"/>
  <c r="K60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4" i="15"/>
  <c r="R23" i="16"/>
  <c r="R22" i="16"/>
  <c r="J66" i="15"/>
  <c r="L65" i="15"/>
  <c r="I64" i="15"/>
  <c r="K63" i="15"/>
  <c r="H62" i="15"/>
  <c r="K61" i="15"/>
  <c r="H60" i="15"/>
  <c r="J55" i="15"/>
  <c r="K54" i="15"/>
  <c r="I52" i="15"/>
  <c r="J51" i="15"/>
  <c r="K50" i="15"/>
  <c r="I44" i="15"/>
  <c r="J43" i="15"/>
  <c r="K42" i="15"/>
  <c r="I40" i="15"/>
  <c r="J39" i="15"/>
  <c r="K34" i="15"/>
  <c r="L33" i="15"/>
  <c r="H33" i="15"/>
  <c r="I32" i="15"/>
  <c r="J31" i="15"/>
  <c r="K30" i="15"/>
  <c r="L29" i="15"/>
  <c r="H29" i="15"/>
  <c r="I28" i="15"/>
  <c r="K23" i="15"/>
  <c r="Q23" i="16"/>
  <c r="Q22" i="16"/>
  <c r="Q21" i="16"/>
  <c r="H66" i="15"/>
  <c r="K65" i="15"/>
  <c r="H64" i="15"/>
  <c r="J63" i="15"/>
  <c r="L62" i="15"/>
  <c r="I61" i="15"/>
  <c r="L60" i="15"/>
  <c r="I55" i="15"/>
  <c r="J54" i="15"/>
  <c r="K53" i="15"/>
  <c r="I51" i="15"/>
  <c r="J50" i="15"/>
  <c r="K45" i="15"/>
  <c r="I43" i="15"/>
  <c r="J42" i="15"/>
  <c r="K41" i="15"/>
  <c r="I39" i="15"/>
  <c r="J34" i="15"/>
  <c r="K33" i="15"/>
  <c r="L32" i="15"/>
  <c r="H32" i="15"/>
  <c r="I31" i="15"/>
  <c r="J30" i="15"/>
  <c r="K29" i="15"/>
  <c r="L28" i="15"/>
  <c r="H28" i="15"/>
  <c r="J23" i="15"/>
  <c r="L22" i="15"/>
  <c r="H22" i="15"/>
  <c r="N23" i="16"/>
  <c r="N22" i="16"/>
  <c r="O21" i="16"/>
  <c r="K66" i="15"/>
  <c r="J62" i="15"/>
  <c r="L61" i="15"/>
  <c r="I53" i="15"/>
  <c r="J52" i="15"/>
  <c r="K51" i="15"/>
  <c r="I41" i="15"/>
  <c r="J40" i="15"/>
  <c r="K39" i="15"/>
  <c r="I33" i="15"/>
  <c r="K31" i="15"/>
  <c r="H30" i="15"/>
  <c r="J28" i="15"/>
  <c r="H23" i="15"/>
  <c r="K22" i="15"/>
  <c r="L21" i="15"/>
  <c r="H21" i="15"/>
  <c r="J20" i="15"/>
  <c r="L19" i="15"/>
  <c r="H19" i="15"/>
  <c r="J18" i="15"/>
  <c r="L17" i="15"/>
  <c r="H17" i="15"/>
  <c r="J12" i="15"/>
  <c r="L11" i="15"/>
  <c r="H11" i="15"/>
  <c r="J10" i="15"/>
  <c r="L9" i="15"/>
  <c r="H9" i="15"/>
  <c r="J8" i="15"/>
  <c r="L7" i="15"/>
  <c r="H7" i="15"/>
  <c r="J6" i="15"/>
  <c r="K9" i="13"/>
  <c r="C9" i="13"/>
  <c r="I65" i="15"/>
  <c r="L64" i="15"/>
  <c r="H61" i="15"/>
  <c r="J60" i="15"/>
  <c r="I50" i="15"/>
  <c r="J45" i="15"/>
  <c r="K44" i="15"/>
  <c r="I34" i="15"/>
  <c r="K32" i="15"/>
  <c r="H31" i="15"/>
  <c r="J29" i="15"/>
  <c r="J22" i="15"/>
  <c r="K21" i="15"/>
  <c r="I20" i="15"/>
  <c r="K19" i="15"/>
  <c r="I18" i="15"/>
  <c r="K17" i="15"/>
  <c r="I12" i="15"/>
  <c r="K11" i="15"/>
  <c r="I10" i="15"/>
  <c r="K9" i="15"/>
  <c r="I8" i="15"/>
  <c r="K7" i="15"/>
  <c r="I6" i="15"/>
  <c r="J9" i="13"/>
  <c r="F9" i="13"/>
  <c r="E9" i="13"/>
  <c r="I5" i="14"/>
  <c r="L6" i="15"/>
  <c r="H8" i="15"/>
  <c r="J9" i="15"/>
  <c r="L10" i="15"/>
  <c r="H12" i="15"/>
  <c r="J17" i="15"/>
  <c r="L18" i="15"/>
  <c r="H20" i="15"/>
  <c r="J21" i="15"/>
  <c r="L23" i="15"/>
  <c r="J32" i="15"/>
  <c r="J44" i="15"/>
  <c r="K55" i="15"/>
  <c r="J64" i="15"/>
  <c r="P21" i="16"/>
  <c r="O23" i="16"/>
  <c r="L11" i="13" l="1"/>
  <c r="L5" i="14" s="1"/>
  <c r="K11" i="13"/>
  <c r="K5" i="14" s="1"/>
  <c r="J11" i="13"/>
  <c r="J5" i="14" s="1"/>
  <c r="H85" i="3"/>
  <c r="B90" i="3" s="1"/>
  <c r="BB12" i="7"/>
  <c r="BB13" i="7" s="1"/>
  <c r="BB14" i="7" s="1"/>
  <c r="V12" i="7"/>
  <c r="AK17" i="7"/>
  <c r="Z17" i="7"/>
  <c r="BW16" i="7"/>
  <c r="AL9" i="7"/>
  <c r="V17" i="7"/>
  <c r="BR9" i="7"/>
  <c r="CG9" i="7"/>
  <c r="AA16" i="7"/>
  <c r="AU16" i="7"/>
  <c r="CS9" i="7"/>
  <c r="BM16" i="7"/>
  <c r="AW12" i="7"/>
  <c r="AW13" i="7" s="1"/>
  <c r="AW14" i="7" s="1"/>
  <c r="U17" i="7"/>
  <c r="E17" i="7"/>
  <c r="CA17" i="7"/>
  <c r="DR9" i="7"/>
  <c r="AQ16" i="7"/>
  <c r="F17" i="7"/>
  <c r="D12" i="7"/>
  <c r="V16" i="7"/>
  <c r="DG17" i="7"/>
  <c r="AP17" i="7"/>
  <c r="DI9" i="7"/>
  <c r="AP16" i="7"/>
  <c r="BQ9" i="7"/>
  <c r="BW17" i="7"/>
  <c r="K17" i="7"/>
  <c r="K12" i="7"/>
  <c r="K13" i="7" s="1"/>
  <c r="K14" i="7" s="1"/>
  <c r="AA9" i="7"/>
  <c r="D14" i="4" s="1"/>
  <c r="D43" i="1" s="1"/>
  <c r="DI17" i="7"/>
  <c r="BR16" i="7"/>
  <c r="K9" i="7"/>
  <c r="BQ17" i="7"/>
  <c r="CG16" i="7"/>
  <c r="AE17" i="7"/>
  <c r="BB9" i="7"/>
  <c r="CW9" i="7"/>
  <c r="DN17" i="7"/>
  <c r="DI12" i="7"/>
  <c r="DI13" i="7" s="1"/>
  <c r="DI14" i="7" s="1"/>
  <c r="CM9" i="7"/>
  <c r="AW9" i="7"/>
  <c r="F9" i="7"/>
  <c r="CL17" i="7"/>
  <c r="CX17" i="7"/>
  <c r="DB16" i="7"/>
  <c r="U16" i="7"/>
  <c r="CL9" i="7"/>
  <c r="Z9" i="7"/>
  <c r="CH16" i="7"/>
  <c r="BB16" i="7"/>
  <c r="BG12" i="7"/>
  <c r="BG13" i="7" s="1"/>
  <c r="BG14" i="7" s="1"/>
  <c r="BR12" i="7"/>
  <c r="BR13" i="7" s="1"/>
  <c r="BR14" i="7" s="1"/>
  <c r="BK17" i="7"/>
  <c r="DN9" i="7"/>
  <c r="CH17" i="7"/>
  <c r="CQ16" i="7"/>
  <c r="E13" i="5"/>
  <c r="K19" i="5"/>
  <c r="L11" i="5"/>
  <c r="D15" i="5"/>
  <c r="C12" i="5"/>
  <c r="E15" i="5"/>
  <c r="G17" i="5"/>
  <c r="G19" i="5"/>
  <c r="F16" i="5"/>
  <c r="DS9" i="7"/>
  <c r="L14" i="4" s="1"/>
  <c r="L43" i="1" s="1"/>
  <c r="AG9" i="7"/>
  <c r="DS16" i="7"/>
  <c r="BA16" i="7"/>
  <c r="J16" i="7"/>
  <c r="CS12" i="7"/>
  <c r="CS13" i="7" s="1"/>
  <c r="CS14" i="7" s="1"/>
  <c r="BA9" i="7"/>
  <c r="AQ17" i="7"/>
  <c r="DG12" i="7"/>
  <c r="DG13" i="7" s="1"/>
  <c r="DG14" i="7" s="1"/>
  <c r="CQ17" i="7"/>
  <c r="CC9" i="7"/>
  <c r="AQ12" i="7"/>
  <c r="AQ13" i="7" s="1"/>
  <c r="AQ14" i="7" s="1"/>
  <c r="AL16" i="7"/>
  <c r="CS16" i="7"/>
  <c r="J9" i="7"/>
  <c r="DR17" i="7"/>
  <c r="CA16" i="7"/>
  <c r="AG16" i="7"/>
  <c r="AK9" i="7"/>
  <c r="CC17" i="7"/>
  <c r="F12" i="7"/>
  <c r="F13" i="7" s="1"/>
  <c r="F14" i="7" s="1"/>
  <c r="F18" i="7" s="1"/>
  <c r="CA12" i="7"/>
  <c r="CA13" i="7" s="1"/>
  <c r="CA14" i="7" s="1"/>
  <c r="CW12" i="7"/>
  <c r="CW13" i="7" s="1"/>
  <c r="CW14" i="7" s="1"/>
  <c r="O16" i="7"/>
  <c r="CM12" i="7"/>
  <c r="CM13" i="7" s="1"/>
  <c r="CM14" i="7" s="1"/>
  <c r="BF9" i="7"/>
  <c r="BF17" i="7"/>
  <c r="BM12" i="7"/>
  <c r="BM13" i="7" s="1"/>
  <c r="BM14" i="7" s="1"/>
  <c r="DC12" i="7"/>
  <c r="DC13" i="7" s="1"/>
  <c r="DC14" i="7" s="1"/>
  <c r="BB17" i="7"/>
  <c r="CL12" i="7"/>
  <c r="CL13" i="7" s="1"/>
  <c r="CL14" i="7" s="1"/>
  <c r="AA12" i="7"/>
  <c r="AA13" i="7" s="1"/>
  <c r="AA14" i="7" s="1"/>
  <c r="AU17" i="7"/>
  <c r="O17" i="7"/>
  <c r="AG12" i="7"/>
  <c r="AG13" i="7" s="1"/>
  <c r="AG14" i="7" s="1"/>
  <c r="DC9" i="7"/>
  <c r="BM9" i="7"/>
  <c r="V9" i="7"/>
  <c r="CX12" i="7"/>
  <c r="CX13" i="7" s="1"/>
  <c r="CM16" i="7"/>
  <c r="BG16" i="7"/>
  <c r="Q12" i="7"/>
  <c r="Q13" i="7" s="1"/>
  <c r="DM9" i="7"/>
  <c r="AE9" i="7"/>
  <c r="E9" i="7"/>
  <c r="DC16" i="7"/>
  <c r="AL12" i="7"/>
  <c r="CC12" i="7"/>
  <c r="CC13" i="7" s="1"/>
  <c r="CC14" i="7" s="1"/>
  <c r="CC18" i="7" s="1"/>
  <c r="BK16" i="7"/>
  <c r="E18" i="5"/>
  <c r="Z12" i="7"/>
  <c r="Z13" i="7" s="1"/>
  <c r="Z14" i="7" s="1"/>
  <c r="CX9" i="7"/>
  <c r="BG9" i="7"/>
  <c r="Q9" i="7"/>
  <c r="AW17" i="7"/>
  <c r="DS12" i="7"/>
  <c r="DS13" i="7" s="1"/>
  <c r="DS14" i="7" s="1"/>
  <c r="DM16" i="7"/>
  <c r="BV16" i="7"/>
  <c r="DB9" i="7"/>
  <c r="BV9" i="7"/>
  <c r="CW17" i="7"/>
  <c r="Q17" i="7"/>
  <c r="DO12" i="7"/>
  <c r="DO13" i="7" s="1"/>
  <c r="DO14" i="7" s="1"/>
  <c r="DO18" i="7" s="1"/>
  <c r="F9" i="4"/>
  <c r="D5" i="4"/>
  <c r="J9" i="4"/>
  <c r="D12" i="5"/>
  <c r="J13" i="5"/>
  <c r="DM11" i="7"/>
  <c r="L5" i="4" s="1"/>
  <c r="DM12" i="7"/>
  <c r="CQ11" i="7"/>
  <c r="J5" i="4" s="1"/>
  <c r="CQ12" i="7"/>
  <c r="BV11" i="7"/>
  <c r="H5" i="4" s="1"/>
  <c r="BV12" i="7"/>
  <c r="BA11" i="7"/>
  <c r="BA12" i="7"/>
  <c r="AE11" i="7"/>
  <c r="AE12" i="7"/>
  <c r="J11" i="7"/>
  <c r="J12" i="7"/>
  <c r="J14" i="5"/>
  <c r="BK12" i="7"/>
  <c r="BK13" i="7" s="1"/>
  <c r="BK14" i="7" s="1"/>
  <c r="BF11" i="7"/>
  <c r="G5" i="4" s="1"/>
  <c r="BF12" i="7"/>
  <c r="AK11" i="7"/>
  <c r="AK12" i="7"/>
  <c r="O12" i="7"/>
  <c r="O11" i="7"/>
  <c r="I5" i="4"/>
  <c r="C9" i="4"/>
  <c r="G9" i="4"/>
  <c r="K9" i="4"/>
  <c r="G12" i="5"/>
  <c r="I15" i="5"/>
  <c r="F14" i="5"/>
  <c r="G14" i="5"/>
  <c r="J11" i="5"/>
  <c r="F13" i="5"/>
  <c r="L14" i="5"/>
  <c r="I16" i="5"/>
  <c r="F19" i="5"/>
  <c r="C5" i="5"/>
  <c r="G5" i="5"/>
  <c r="K5" i="5"/>
  <c r="E6" i="5"/>
  <c r="I6" i="5"/>
  <c r="C7" i="5"/>
  <c r="G7" i="5"/>
  <c r="K7" i="5"/>
  <c r="E8" i="5"/>
  <c r="I8" i="5"/>
  <c r="C9" i="5"/>
  <c r="G9" i="5"/>
  <c r="K9" i="5"/>
  <c r="E10" i="5"/>
  <c r="I10" i="5"/>
  <c r="C11" i="5"/>
  <c r="G11" i="5"/>
  <c r="I12" i="5"/>
  <c r="E14" i="5"/>
  <c r="K15" i="5"/>
  <c r="I18" i="5"/>
  <c r="H17" i="5"/>
  <c r="D19" i="5"/>
  <c r="J8" i="11"/>
  <c r="J15" i="6"/>
  <c r="G18" i="5"/>
  <c r="C8" i="11"/>
  <c r="C15" i="6"/>
  <c r="L13" i="5"/>
  <c r="DA17" i="7"/>
  <c r="DA16" i="7"/>
  <c r="DA12" i="7"/>
  <c r="DA13" i="7" s="1"/>
  <c r="DA14" i="7" s="1"/>
  <c r="DA9" i="7"/>
  <c r="CE17" i="7"/>
  <c r="CE16" i="7"/>
  <c r="CE12" i="7"/>
  <c r="CE13" i="7" s="1"/>
  <c r="CE14" i="7" s="1"/>
  <c r="CE9" i="7"/>
  <c r="BJ17" i="7"/>
  <c r="BJ16" i="7"/>
  <c r="BJ12" i="7"/>
  <c r="BJ13" i="7" s="1"/>
  <c r="BJ14" i="7" s="1"/>
  <c r="BJ9" i="7"/>
  <c r="AO12" i="7"/>
  <c r="AO13" i="7" s="1"/>
  <c r="AO14" i="7" s="1"/>
  <c r="AO17" i="7"/>
  <c r="AO16" i="7"/>
  <c r="AO9" i="7"/>
  <c r="S17" i="7"/>
  <c r="S16" i="7"/>
  <c r="S12" i="7"/>
  <c r="S13" i="7" s="1"/>
  <c r="S14" i="7" s="1"/>
  <c r="S9" i="7"/>
  <c r="H17" i="7"/>
  <c r="H16" i="7"/>
  <c r="H12" i="7"/>
  <c r="H13" i="7" s="1"/>
  <c r="H14" i="7" s="1"/>
  <c r="H9" i="7"/>
  <c r="X17" i="7"/>
  <c r="X16" i="7"/>
  <c r="X12" i="7"/>
  <c r="X13" i="7" s="1"/>
  <c r="X14" i="7" s="1"/>
  <c r="X9" i="7"/>
  <c r="AN17" i="7"/>
  <c r="AN16" i="7"/>
  <c r="AN12" i="7"/>
  <c r="AN13" i="7" s="1"/>
  <c r="AN14" i="7" s="1"/>
  <c r="AN9" i="7"/>
  <c r="BD17" i="7"/>
  <c r="BD16" i="7"/>
  <c r="BD12" i="7"/>
  <c r="BD13" i="7" s="1"/>
  <c r="BD9" i="7"/>
  <c r="BT17" i="7"/>
  <c r="BT16" i="7"/>
  <c r="BT12" i="7"/>
  <c r="BT9" i="7"/>
  <c r="CJ17" i="7"/>
  <c r="CJ16" i="7"/>
  <c r="CJ12" i="7"/>
  <c r="CJ13" i="7" s="1"/>
  <c r="CJ9" i="7"/>
  <c r="CZ17" i="7"/>
  <c r="CZ16" i="7"/>
  <c r="CZ12" i="7"/>
  <c r="CZ13" i="7" s="1"/>
  <c r="CZ14" i="7" s="1"/>
  <c r="CZ9" i="7"/>
  <c r="DP17" i="7"/>
  <c r="DP16" i="7"/>
  <c r="DP12" i="7"/>
  <c r="DP13" i="7" s="1"/>
  <c r="DP14" i="7" s="1"/>
  <c r="DP9" i="7"/>
  <c r="DB12" i="7"/>
  <c r="DB13" i="7" s="1"/>
  <c r="DB14" i="7" s="1"/>
  <c r="DE17" i="7"/>
  <c r="DE9" i="7"/>
  <c r="DE16" i="7"/>
  <c r="DE12" i="7"/>
  <c r="DE13" i="7" s="1"/>
  <c r="DE14" i="7" s="1"/>
  <c r="CI17" i="7"/>
  <c r="CI16" i="7"/>
  <c r="CI12" i="7"/>
  <c r="CI13" i="7" s="1"/>
  <c r="CI14" i="7" s="1"/>
  <c r="CI9" i="7"/>
  <c r="I14" i="4" s="1"/>
  <c r="I43" i="1" s="1"/>
  <c r="BN12" i="7"/>
  <c r="BN17" i="7"/>
  <c r="BN9" i="7"/>
  <c r="BN16" i="7"/>
  <c r="AS12" i="7"/>
  <c r="AS13" i="7" s="1"/>
  <c r="AS14" i="7" s="1"/>
  <c r="AS17" i="7"/>
  <c r="AS9" i="7"/>
  <c r="AS16" i="7"/>
  <c r="W17" i="7"/>
  <c r="W16" i="7"/>
  <c r="W12" i="7"/>
  <c r="W13" i="7" s="1"/>
  <c r="W14" i="7" s="1"/>
  <c r="W9" i="7"/>
  <c r="E6" i="17"/>
  <c r="B6" i="1"/>
  <c r="F17" i="5"/>
  <c r="H15" i="5"/>
  <c r="BN13" i="7"/>
  <c r="BN14" i="7" s="1"/>
  <c r="CY17" i="7"/>
  <c r="CY16" i="7"/>
  <c r="CY12" i="7"/>
  <c r="CY13" i="7" s="1"/>
  <c r="CY14" i="7" s="1"/>
  <c r="CY9" i="7"/>
  <c r="CD9" i="7"/>
  <c r="CD17" i="7"/>
  <c r="CD16" i="7"/>
  <c r="CD12" i="7"/>
  <c r="CD13" i="7" s="1"/>
  <c r="CD14" i="7" s="1"/>
  <c r="BI12" i="7"/>
  <c r="BI9" i="7"/>
  <c r="BI17" i="7"/>
  <c r="BI16" i="7"/>
  <c r="AM17" i="7"/>
  <c r="AM16" i="7"/>
  <c r="AM12" i="7"/>
  <c r="AM13" i="7" s="1"/>
  <c r="AM14" i="7" s="1"/>
  <c r="AM9" i="7"/>
  <c r="E14" i="4" s="1"/>
  <c r="E43" i="1" s="1"/>
  <c r="R12" i="7"/>
  <c r="R9" i="7"/>
  <c r="R16" i="7"/>
  <c r="R17" i="7"/>
  <c r="DN12" i="7"/>
  <c r="U12" i="7"/>
  <c r="U13" i="7" s="1"/>
  <c r="U14" i="7" s="1"/>
  <c r="V13" i="7"/>
  <c r="V14" i="7" s="1"/>
  <c r="F15" i="5"/>
  <c r="L16" i="5"/>
  <c r="D8" i="11"/>
  <c r="D15" i="6"/>
  <c r="F5" i="5"/>
  <c r="J5" i="5"/>
  <c r="D6" i="5"/>
  <c r="H6" i="5"/>
  <c r="L6" i="5"/>
  <c r="F7" i="5"/>
  <c r="J7" i="5"/>
  <c r="D8" i="5"/>
  <c r="H8" i="5"/>
  <c r="L8" i="5"/>
  <c r="F9" i="5"/>
  <c r="J9" i="5"/>
  <c r="D10" i="5"/>
  <c r="H10" i="5"/>
  <c r="L10" i="5"/>
  <c r="F11" i="5"/>
  <c r="C13" i="5"/>
  <c r="I14" i="5"/>
  <c r="E16" i="5"/>
  <c r="L17" i="5"/>
  <c r="H19" i="5"/>
  <c r="E17" i="5"/>
  <c r="K18" i="5"/>
  <c r="G8" i="11"/>
  <c r="G15" i="6"/>
  <c r="DQ17" i="7"/>
  <c r="DQ16" i="7"/>
  <c r="DQ12" i="7"/>
  <c r="DQ13" i="7" s="1"/>
  <c r="DQ9" i="7"/>
  <c r="CU17" i="7"/>
  <c r="CU16" i="7"/>
  <c r="CU12" i="7"/>
  <c r="CU9" i="7"/>
  <c r="J14" i="4" s="1"/>
  <c r="J43" i="1" s="1"/>
  <c r="BZ17" i="7"/>
  <c r="BZ16" i="7"/>
  <c r="BZ12" i="7"/>
  <c r="BZ9" i="7"/>
  <c r="BE17" i="7"/>
  <c r="BE12" i="7"/>
  <c r="BE13" i="7" s="1"/>
  <c r="BE16" i="7"/>
  <c r="BE9" i="7"/>
  <c r="AI17" i="7"/>
  <c r="AI16" i="7"/>
  <c r="AI12" i="7"/>
  <c r="AI9" i="7"/>
  <c r="N17" i="7"/>
  <c r="N16" i="7"/>
  <c r="N12" i="7"/>
  <c r="N9" i="7"/>
  <c r="C9" i="18"/>
  <c r="B9" i="18"/>
  <c r="L17" i="7"/>
  <c r="L16" i="7"/>
  <c r="L12" i="7"/>
  <c r="L9" i="7"/>
  <c r="AB17" i="7"/>
  <c r="AB16" i="7"/>
  <c r="AB12" i="7"/>
  <c r="AB13" i="7" s="1"/>
  <c r="AB9" i="7"/>
  <c r="AR17" i="7"/>
  <c r="AR16" i="7"/>
  <c r="AR12" i="7"/>
  <c r="AR9" i="7"/>
  <c r="BH17" i="7"/>
  <c r="BH16" i="7"/>
  <c r="BH12" i="7"/>
  <c r="BH13" i="7" s="1"/>
  <c r="BH9" i="7"/>
  <c r="BX17" i="7"/>
  <c r="BX16" i="7"/>
  <c r="BX12" i="7"/>
  <c r="BX9" i="7"/>
  <c r="CN17" i="7"/>
  <c r="CN16" i="7"/>
  <c r="CN12" i="7"/>
  <c r="CN9" i="7"/>
  <c r="DD17" i="7"/>
  <c r="DD16" i="7"/>
  <c r="DD12" i="7"/>
  <c r="DD9" i="7"/>
  <c r="DR12" i="7"/>
  <c r="K5" i="4"/>
  <c r="E9" i="4"/>
  <c r="I9" i="4"/>
  <c r="C14" i="5"/>
  <c r="I8" i="11"/>
  <c r="I15" i="6"/>
  <c r="J12" i="5"/>
  <c r="L15" i="5"/>
  <c r="D18" i="5"/>
  <c r="K12" i="5"/>
  <c r="C16" i="5"/>
  <c r="C19" i="5"/>
  <c r="H12" i="5"/>
  <c r="D14" i="5"/>
  <c r="J15" i="5"/>
  <c r="J17" i="5"/>
  <c r="L8" i="11"/>
  <c r="L15" i="6"/>
  <c r="E5" i="5"/>
  <c r="I5" i="5"/>
  <c r="C6" i="5"/>
  <c r="G6" i="5"/>
  <c r="K6" i="5"/>
  <c r="E7" i="5"/>
  <c r="I7" i="5"/>
  <c r="C8" i="5"/>
  <c r="G8" i="5"/>
  <c r="K8" i="5"/>
  <c r="E9" i="5"/>
  <c r="I9" i="5"/>
  <c r="C10" i="5"/>
  <c r="G10" i="5"/>
  <c r="K10" i="5"/>
  <c r="E11" i="5"/>
  <c r="K11" i="5"/>
  <c r="G13" i="5"/>
  <c r="C15" i="5"/>
  <c r="H16" i="5"/>
  <c r="C17" i="5"/>
  <c r="E8" i="11"/>
  <c r="E15" i="6"/>
  <c r="J16" i="5"/>
  <c r="F18" i="5"/>
  <c r="L19" i="5"/>
  <c r="I17" i="5"/>
  <c r="E19" i="5"/>
  <c r="K8" i="11"/>
  <c r="K15" i="6"/>
  <c r="BQ12" i="7"/>
  <c r="BQ13" i="7" s="1"/>
  <c r="DK17" i="7"/>
  <c r="DK16" i="7"/>
  <c r="DK12" i="7"/>
  <c r="DK9" i="7"/>
  <c r="CP17" i="7"/>
  <c r="CP16" i="7"/>
  <c r="CP12" i="7"/>
  <c r="CP9" i="7"/>
  <c r="BU16" i="7"/>
  <c r="BU12" i="7"/>
  <c r="BU9" i="7"/>
  <c r="BU17" i="7"/>
  <c r="AY17" i="7"/>
  <c r="AY16" i="7"/>
  <c r="AY12" i="7"/>
  <c r="AY9" i="7"/>
  <c r="F14" i="4" s="1"/>
  <c r="F43" i="1" s="1"/>
  <c r="AD17" i="7"/>
  <c r="AD16" i="7"/>
  <c r="AD12" i="7"/>
  <c r="AD9" i="7"/>
  <c r="I17" i="7"/>
  <c r="I16" i="7"/>
  <c r="I12" i="7"/>
  <c r="I9" i="7"/>
  <c r="P17" i="7"/>
  <c r="P16" i="7"/>
  <c r="P12" i="7"/>
  <c r="P9" i="7"/>
  <c r="AF17" i="7"/>
  <c r="AF16" i="7"/>
  <c r="AF12" i="7"/>
  <c r="AF9" i="7"/>
  <c r="AV17" i="7"/>
  <c r="AV16" i="7"/>
  <c r="AV12" i="7"/>
  <c r="AV9" i="7"/>
  <c r="BL17" i="7"/>
  <c r="BL16" i="7"/>
  <c r="BL12" i="7"/>
  <c r="BL9" i="7"/>
  <c r="CB17" i="7"/>
  <c r="CB16" i="7"/>
  <c r="CB12" i="7"/>
  <c r="CB9" i="7"/>
  <c r="CR17" i="7"/>
  <c r="CR16" i="7"/>
  <c r="CR12" i="7"/>
  <c r="CR9" i="7"/>
  <c r="DH17" i="7"/>
  <c r="DH16" i="7"/>
  <c r="DH12" i="7"/>
  <c r="DH9" i="7"/>
  <c r="F12" i="5"/>
  <c r="L18" i="5"/>
  <c r="CG12" i="7"/>
  <c r="CG13" i="7" s="1"/>
  <c r="CG14" i="7" s="1"/>
  <c r="CT17" i="7"/>
  <c r="CT9" i="7"/>
  <c r="CT16" i="7"/>
  <c r="CT12" i="7"/>
  <c r="CT13" i="7" s="1"/>
  <c r="CT14" i="7" s="1"/>
  <c r="BY17" i="7"/>
  <c r="BY9" i="7"/>
  <c r="BY16" i="7"/>
  <c r="BY12" i="7"/>
  <c r="BC17" i="7"/>
  <c r="BC16" i="7"/>
  <c r="BC12" i="7"/>
  <c r="BC13" i="7" s="1"/>
  <c r="BC14" i="7" s="1"/>
  <c r="BC9" i="7"/>
  <c r="AH12" i="7"/>
  <c r="AH13" i="7" s="1"/>
  <c r="AH14" i="7" s="1"/>
  <c r="AH17" i="7"/>
  <c r="AH9" i="7"/>
  <c r="AH16" i="7"/>
  <c r="M12" i="7"/>
  <c r="M13" i="7" s="1"/>
  <c r="M14" i="7" s="1"/>
  <c r="M17" i="7"/>
  <c r="M9" i="7"/>
  <c r="M16" i="7"/>
  <c r="BW12" i="7"/>
  <c r="BW13" i="7" s="1"/>
  <c r="F5" i="4"/>
  <c r="D9" i="4"/>
  <c r="H9" i="4"/>
  <c r="L9" i="4"/>
  <c r="I11" i="5"/>
  <c r="K14" i="5"/>
  <c r="H13" i="5"/>
  <c r="G16" i="5"/>
  <c r="J19" i="5"/>
  <c r="H8" i="11"/>
  <c r="H15" i="6"/>
  <c r="I13" i="5"/>
  <c r="L12" i="5"/>
  <c r="H14" i="5"/>
  <c r="D16" i="5"/>
  <c r="H18" i="5"/>
  <c r="D5" i="5"/>
  <c r="H5" i="5"/>
  <c r="L5" i="5"/>
  <c r="F6" i="5"/>
  <c r="J6" i="5"/>
  <c r="D7" i="5"/>
  <c r="H7" i="5"/>
  <c r="L7" i="5"/>
  <c r="F8" i="5"/>
  <c r="J8" i="5"/>
  <c r="D9" i="5"/>
  <c r="H9" i="5"/>
  <c r="L9" i="5"/>
  <c r="F10" i="5"/>
  <c r="J10" i="5"/>
  <c r="D11" i="5"/>
  <c r="H11" i="5"/>
  <c r="E12" i="5"/>
  <c r="K13" i="5"/>
  <c r="G15" i="5"/>
  <c r="K16" i="5"/>
  <c r="K17" i="5"/>
  <c r="D17" i="5"/>
  <c r="J18" i="5"/>
  <c r="F8" i="11"/>
  <c r="F15" i="6"/>
  <c r="C18" i="5"/>
  <c r="I19" i="5"/>
  <c r="E12" i="7"/>
  <c r="DF17" i="7"/>
  <c r="DF16" i="7"/>
  <c r="DF12" i="7"/>
  <c r="DF13" i="7" s="1"/>
  <c r="DF9" i="7"/>
  <c r="CK17" i="7"/>
  <c r="CK16" i="7"/>
  <c r="CK12" i="7"/>
  <c r="CK13" i="7" s="1"/>
  <c r="CK9" i="7"/>
  <c r="BO17" i="7"/>
  <c r="BO16" i="7"/>
  <c r="BO9" i="7"/>
  <c r="BO12" i="7"/>
  <c r="BO13" i="7" s="1"/>
  <c r="AT17" i="7"/>
  <c r="AT16" i="7"/>
  <c r="AT9" i="7"/>
  <c r="AT12" i="7"/>
  <c r="Y17" i="7"/>
  <c r="Y16" i="7"/>
  <c r="Y9" i="7"/>
  <c r="Y12" i="7"/>
  <c r="C16" i="18"/>
  <c r="B16" i="18"/>
  <c r="D17" i="7"/>
  <c r="D16" i="7"/>
  <c r="T17" i="7"/>
  <c r="T16" i="7"/>
  <c r="T12" i="7"/>
  <c r="T9" i="7"/>
  <c r="AJ17" i="7"/>
  <c r="AJ16" i="7"/>
  <c r="AJ12" i="7"/>
  <c r="AJ13" i="7" s="1"/>
  <c r="AJ9" i="7"/>
  <c r="AZ17" i="7"/>
  <c r="AZ16" i="7"/>
  <c r="AZ12" i="7"/>
  <c r="AZ9" i="7"/>
  <c r="BP17" i="7"/>
  <c r="BP16" i="7"/>
  <c r="BP12" i="7"/>
  <c r="BP9" i="7"/>
  <c r="CF17" i="7"/>
  <c r="CF16" i="7"/>
  <c r="CF12" i="7"/>
  <c r="CF9" i="7"/>
  <c r="CV17" i="7"/>
  <c r="CV16" i="7"/>
  <c r="CV12" i="7"/>
  <c r="CV9" i="7"/>
  <c r="DL17" i="7"/>
  <c r="DL16" i="7"/>
  <c r="DL12" i="7"/>
  <c r="DL13" i="7" s="1"/>
  <c r="DL9" i="7"/>
  <c r="D13" i="5"/>
  <c r="DJ9" i="7"/>
  <c r="DJ16" i="7"/>
  <c r="DJ12" i="7"/>
  <c r="DJ17" i="7"/>
  <c r="CO9" i="7"/>
  <c r="CO16" i="7"/>
  <c r="CO12" i="7"/>
  <c r="CO13" i="7" s="1"/>
  <c r="CO17" i="7"/>
  <c r="BS17" i="7"/>
  <c r="BS16" i="7"/>
  <c r="BS12" i="7"/>
  <c r="BS9" i="7"/>
  <c r="AX12" i="7"/>
  <c r="AX13" i="7" s="1"/>
  <c r="AX9" i="7"/>
  <c r="AX16" i="7"/>
  <c r="AX17" i="7"/>
  <c r="AC12" i="7"/>
  <c r="AC9" i="7"/>
  <c r="AC16" i="7"/>
  <c r="AC17" i="7"/>
  <c r="G17" i="7"/>
  <c r="G16" i="7"/>
  <c r="G12" i="7"/>
  <c r="G13" i="7" s="1"/>
  <c r="G9" i="7"/>
  <c r="CH12" i="7"/>
  <c r="AP12" i="7"/>
  <c r="AP13" i="7" s="1"/>
  <c r="AU12" i="7"/>
  <c r="Z18" i="7" l="1"/>
  <c r="DI18" i="7"/>
  <c r="AA18" i="7"/>
  <c r="AA35" i="7" s="1"/>
  <c r="AA36" i="7" s="1"/>
  <c r="AA38" i="7" s="1"/>
  <c r="CG18" i="7"/>
  <c r="CG35" i="7" s="1"/>
  <c r="CG36" i="7" s="1"/>
  <c r="CG38" i="7" s="1"/>
  <c r="CI18" i="7"/>
  <c r="CI35" i="7" s="1"/>
  <c r="CI36" i="7" s="1"/>
  <c r="CI38" i="7" s="1"/>
  <c r="Q14" i="7"/>
  <c r="Q18" i="7" s="1"/>
  <c r="Q35" i="7" s="1"/>
  <c r="Q36" i="7" s="1"/>
  <c r="Q38" i="7" s="1"/>
  <c r="BM18" i="7"/>
  <c r="BM35" i="7" s="1"/>
  <c r="BM36" i="7" s="1"/>
  <c r="BM38" i="7" s="1"/>
  <c r="BM42" i="7" s="1"/>
  <c r="AQ18" i="7"/>
  <c r="AQ35" i="7" s="1"/>
  <c r="AQ36" i="7" s="1"/>
  <c r="AQ38" i="7" s="1"/>
  <c r="BG18" i="7"/>
  <c r="BG35" i="7" s="1"/>
  <c r="BG36" i="7" s="1"/>
  <c r="BG38" i="7" s="1"/>
  <c r="DC18" i="7"/>
  <c r="DC35" i="7" s="1"/>
  <c r="DC36" i="7" s="1"/>
  <c r="DC38" i="7" s="1"/>
  <c r="U18" i="7"/>
  <c r="U35" i="7" s="1"/>
  <c r="U36" i="7" s="1"/>
  <c r="U38" i="7" s="1"/>
  <c r="CL18" i="7"/>
  <c r="CL35" i="7" s="1"/>
  <c r="CL36" i="7" s="1"/>
  <c r="CL38" i="7" s="1"/>
  <c r="BR18" i="7"/>
  <c r="BR35" i="7" s="1"/>
  <c r="BR36" i="7" s="1"/>
  <c r="BR38" i="7" s="1"/>
  <c r="K18" i="7"/>
  <c r="K35" i="7" s="1"/>
  <c r="K36" i="7" s="1"/>
  <c r="K38" i="7" s="1"/>
  <c r="V18" i="7"/>
  <c r="V35" i="7" s="1"/>
  <c r="V36" i="7" s="1"/>
  <c r="V38" i="7" s="1"/>
  <c r="DG18" i="7"/>
  <c r="DG35" i="7" s="1"/>
  <c r="DG36" i="7" s="1"/>
  <c r="DG38" i="7" s="1"/>
  <c r="E5" i="4"/>
  <c r="CM18" i="7"/>
  <c r="CM35" i="7" s="1"/>
  <c r="CM36" i="7" s="1"/>
  <c r="CM38" i="7" s="1"/>
  <c r="W18" i="7"/>
  <c r="W35" i="7" s="1"/>
  <c r="W36" i="7" s="1"/>
  <c r="W38" i="7" s="1"/>
  <c r="C5" i="4"/>
  <c r="DS18" i="7"/>
  <c r="DS35" i="7" s="1"/>
  <c r="DS36" i="7" s="1"/>
  <c r="DS38" i="7" s="1"/>
  <c r="G10" i="4"/>
  <c r="S18" i="7"/>
  <c r="S35" i="7" s="1"/>
  <c r="S36" i="7" s="1"/>
  <c r="S38" i="7" s="1"/>
  <c r="CT18" i="7"/>
  <c r="CT35" i="7" s="1"/>
  <c r="CT36" i="7" s="1"/>
  <c r="CT38" i="7" s="1"/>
  <c r="AM18" i="7"/>
  <c r="AM35" i="7" s="1"/>
  <c r="AM36" i="7" s="1"/>
  <c r="AM38" i="7" s="1"/>
  <c r="DP18" i="7"/>
  <c r="DP35" i="7" s="1"/>
  <c r="DP36" i="7" s="1"/>
  <c r="DP38" i="7" s="1"/>
  <c r="CZ18" i="7"/>
  <c r="CZ35" i="7" s="1"/>
  <c r="CZ36" i="7" s="1"/>
  <c r="CZ38" i="7" s="1"/>
  <c r="H18" i="7"/>
  <c r="H35" i="7" s="1"/>
  <c r="H36" i="7" s="1"/>
  <c r="H38" i="7" s="1"/>
  <c r="BJ18" i="7"/>
  <c r="BJ35" i="7" s="1"/>
  <c r="BJ36" i="7" s="1"/>
  <c r="BJ38" i="7" s="1"/>
  <c r="CE18" i="7"/>
  <c r="CE35" i="7" s="1"/>
  <c r="CE36" i="7" s="1"/>
  <c r="CE38" i="7" s="1"/>
  <c r="DA18" i="7"/>
  <c r="DA35" i="7" s="1"/>
  <c r="DA36" i="7" s="1"/>
  <c r="DA38" i="7" s="1"/>
  <c r="X18" i="7"/>
  <c r="X35" i="7" s="1"/>
  <c r="X36" i="7" s="1"/>
  <c r="X38" i="7" s="1"/>
  <c r="DB18" i="7"/>
  <c r="DB35" i="7" s="1"/>
  <c r="DB36" i="7" s="1"/>
  <c r="DB38" i="7" s="1"/>
  <c r="BB18" i="7"/>
  <c r="BB35" i="7" s="1"/>
  <c r="BB36" i="7" s="1"/>
  <c r="BB38" i="7" s="1"/>
  <c r="BB39" i="7" s="1"/>
  <c r="CA18" i="7"/>
  <c r="CA35" i="7" s="1"/>
  <c r="CA36" i="7" s="1"/>
  <c r="CA38" i="7" s="1"/>
  <c r="CS18" i="7"/>
  <c r="BN18" i="7"/>
  <c r="BN35" i="7" s="1"/>
  <c r="BN36" i="7" s="1"/>
  <c r="BN38" i="7" s="1"/>
  <c r="CJ14" i="7"/>
  <c r="CJ18" i="7" s="1"/>
  <c r="M18" i="7"/>
  <c r="M35" i="7" s="1"/>
  <c r="M36" i="7" s="1"/>
  <c r="M38" i="7" s="1"/>
  <c r="BY13" i="7"/>
  <c r="BY14" i="7" s="1"/>
  <c r="BY18" i="7" s="1"/>
  <c r="BY35" i="7" s="1"/>
  <c r="BY36" i="7" s="1"/>
  <c r="BY38" i="7" s="1"/>
  <c r="BK18" i="7"/>
  <c r="BK35" i="7" s="1"/>
  <c r="BK36" i="7" s="1"/>
  <c r="BK38" i="7" s="1"/>
  <c r="CY18" i="7"/>
  <c r="CY35" i="7" s="1"/>
  <c r="CY36" i="7" s="1"/>
  <c r="CY38" i="7" s="1"/>
  <c r="DE18" i="7"/>
  <c r="DE35" i="7" s="1"/>
  <c r="DE36" i="7" s="1"/>
  <c r="DE38" i="7" s="1"/>
  <c r="K10" i="4"/>
  <c r="CD18" i="7"/>
  <c r="CD35" i="7" s="1"/>
  <c r="CD36" i="7" s="1"/>
  <c r="CD38" i="7" s="1"/>
  <c r="BD14" i="7"/>
  <c r="BD18" i="7" s="1"/>
  <c r="BD35" i="7" s="1"/>
  <c r="BD36" i="7" s="1"/>
  <c r="BD38" i="7" s="1"/>
  <c r="AH18" i="7"/>
  <c r="AH35" i="7" s="1"/>
  <c r="AH36" i="7" s="1"/>
  <c r="AH38" i="7" s="1"/>
  <c r="CX14" i="7"/>
  <c r="CX18" i="7" s="1"/>
  <c r="CX35" i="7" s="1"/>
  <c r="CX36" i="7" s="1"/>
  <c r="CX38" i="7" s="1"/>
  <c r="AG18" i="7"/>
  <c r="AG35" i="7" s="1"/>
  <c r="AG36" i="7" s="1"/>
  <c r="AG38" i="7" s="1"/>
  <c r="CW18" i="7"/>
  <c r="CW35" i="7" s="1"/>
  <c r="CW36" i="7" s="1"/>
  <c r="CW38" i="7" s="1"/>
  <c r="AL13" i="7"/>
  <c r="AL14" i="7" s="1"/>
  <c r="AL18" i="7" s="1"/>
  <c r="AL35" i="7" s="1"/>
  <c r="AL36" i="7" s="1"/>
  <c r="AL38" i="7" s="1"/>
  <c r="BC18" i="7"/>
  <c r="BC35" i="7" s="1"/>
  <c r="BC36" i="7" s="1"/>
  <c r="BC38" i="7" s="1"/>
  <c r="K11" i="4"/>
  <c r="G11" i="4"/>
  <c r="AO18" i="7"/>
  <c r="AO35" i="7" s="1"/>
  <c r="AO36" i="7" s="1"/>
  <c r="AO38" i="7" s="1"/>
  <c r="BT13" i="7"/>
  <c r="BT14" i="7" s="1"/>
  <c r="BT18" i="7" s="1"/>
  <c r="BT35" i="7" s="1"/>
  <c r="BT36" i="7" s="1"/>
  <c r="BT38" i="7" s="1"/>
  <c r="R13" i="7"/>
  <c r="R14" i="7" s="1"/>
  <c r="R18" i="7" s="1"/>
  <c r="R35" i="7" s="1"/>
  <c r="R36" i="7" s="1"/>
  <c r="R38" i="7" s="1"/>
  <c r="BI13" i="7"/>
  <c r="BI14" i="7" s="1"/>
  <c r="BI18" i="7" s="1"/>
  <c r="BI35" i="7" s="1"/>
  <c r="BI36" i="7" s="1"/>
  <c r="BI38" i="7" s="1"/>
  <c r="AW18" i="7"/>
  <c r="AW35" i="7" s="1"/>
  <c r="AW36" i="7" s="1"/>
  <c r="AW38" i="7" s="1"/>
  <c r="K6" i="4"/>
  <c r="G6" i="4"/>
  <c r="DN13" i="7"/>
  <c r="DN14" i="7" s="1"/>
  <c r="DN18" i="7" s="1"/>
  <c r="DN35" i="7" s="1"/>
  <c r="DN36" i="7" s="1"/>
  <c r="DN38" i="7" s="1"/>
  <c r="AS18" i="7"/>
  <c r="AS35" i="7" s="1"/>
  <c r="AS36" i="7" s="1"/>
  <c r="AS38" i="7" s="1"/>
  <c r="CS35" i="7"/>
  <c r="CS36" i="7" s="1"/>
  <c r="CS38" i="7" s="1"/>
  <c r="CC35" i="7"/>
  <c r="CC36" i="7" s="1"/>
  <c r="CC38" i="7" s="1"/>
  <c r="Z35" i="7"/>
  <c r="Z36" i="7" s="1"/>
  <c r="Z38" i="7" s="1"/>
  <c r="F35" i="7"/>
  <c r="F36" i="7" s="1"/>
  <c r="F38" i="7" s="1"/>
  <c r="DO35" i="7"/>
  <c r="DO36" i="7" s="1"/>
  <c r="DO38" i="7" s="1"/>
  <c r="AN18" i="7"/>
  <c r="C11" i="4"/>
  <c r="AP14" i="7"/>
  <c r="AP18" i="7" s="1"/>
  <c r="L6" i="4"/>
  <c r="H6" i="4"/>
  <c r="D6" i="4"/>
  <c r="Y13" i="7"/>
  <c r="Y14" i="7" s="1"/>
  <c r="Y18" i="7" s="1"/>
  <c r="BO14" i="7"/>
  <c r="BO18" i="7" s="1"/>
  <c r="DF14" i="7"/>
  <c r="DF18" i="7" s="1"/>
  <c r="DL14" i="7"/>
  <c r="DL18" i="7" s="1"/>
  <c r="CF13" i="7"/>
  <c r="CF14" i="7" s="1"/>
  <c r="CF18" i="7" s="1"/>
  <c r="AJ14" i="7"/>
  <c r="AJ18" i="7" s="1"/>
  <c r="D13" i="7"/>
  <c r="BQ14" i="7"/>
  <c r="BQ18" i="7" s="1"/>
  <c r="I13" i="7"/>
  <c r="I14" i="7" s="1"/>
  <c r="I18" i="7" s="1"/>
  <c r="AY13" i="7"/>
  <c r="AY14" i="7" s="1"/>
  <c r="AY18" i="7" s="1"/>
  <c r="CP13" i="7"/>
  <c r="CP14" i="7" s="1"/>
  <c r="CP18" i="7" s="1"/>
  <c r="CH13" i="7"/>
  <c r="CH14" i="7" s="1"/>
  <c r="CH18" i="7" s="1"/>
  <c r="G14" i="7"/>
  <c r="G18" i="7" s="1"/>
  <c r="AX14" i="7"/>
  <c r="AX18" i="7" s="1"/>
  <c r="CO14" i="7"/>
  <c r="CO18" i="7" s="1"/>
  <c r="BW14" i="7"/>
  <c r="BW18" i="7" s="1"/>
  <c r="J10" i="4"/>
  <c r="F10" i="4"/>
  <c r="N13" i="7"/>
  <c r="N14" i="7" s="1"/>
  <c r="N18" i="7" s="1"/>
  <c r="BE14" i="7"/>
  <c r="BE18" i="7" s="1"/>
  <c r="CU13" i="7"/>
  <c r="CU14" i="7" s="1"/>
  <c r="CU18" i="7" s="1"/>
  <c r="DD13" i="7"/>
  <c r="DD14" i="7" s="1"/>
  <c r="DD18" i="7" s="1"/>
  <c r="BH14" i="7"/>
  <c r="BH18" i="7" s="1"/>
  <c r="O13" i="7"/>
  <c r="O14" i="7" s="1"/>
  <c r="O18" i="7" s="1"/>
  <c r="AF13" i="7"/>
  <c r="AF14" i="7" s="1"/>
  <c r="AF18" i="7" s="1"/>
  <c r="P13" i="7"/>
  <c r="P14" i="7" s="1"/>
  <c r="CR13" i="7"/>
  <c r="CR14" i="7" s="1"/>
  <c r="CR18" i="7" s="1"/>
  <c r="L10" i="4"/>
  <c r="H10" i="4"/>
  <c r="D10" i="4"/>
  <c r="AT13" i="7"/>
  <c r="AT14" i="7" s="1"/>
  <c r="AT18" i="7" s="1"/>
  <c r="CK14" i="7"/>
  <c r="CK18" i="7" s="1"/>
  <c r="AZ13" i="7"/>
  <c r="AZ14" i="7" s="1"/>
  <c r="T13" i="7"/>
  <c r="T14" i="7" s="1"/>
  <c r="T18" i="7" s="1"/>
  <c r="I6" i="4"/>
  <c r="E6" i="4"/>
  <c r="AC13" i="7"/>
  <c r="BS13" i="7"/>
  <c r="BS14" i="7" s="1"/>
  <c r="BS18" i="7" s="1"/>
  <c r="DJ13" i="7"/>
  <c r="DJ14" i="7" s="1"/>
  <c r="DJ18" i="7" s="1"/>
  <c r="DI35" i="7"/>
  <c r="DI36" i="7" s="1"/>
  <c r="DI38" i="7" s="1"/>
  <c r="J11" i="4"/>
  <c r="F11" i="4"/>
  <c r="BX13" i="7"/>
  <c r="BX14" i="7" s="1"/>
  <c r="AR13" i="7"/>
  <c r="AR14" i="7" s="1"/>
  <c r="AR18" i="7" s="1"/>
  <c r="AB14" i="7"/>
  <c r="BF13" i="7"/>
  <c r="BF14" i="7" s="1"/>
  <c r="BF18" i="7" s="1"/>
  <c r="J13" i="7"/>
  <c r="J14" i="7" s="1"/>
  <c r="J18" i="7" s="1"/>
  <c r="BA13" i="7"/>
  <c r="BA14" i="7" s="1"/>
  <c r="BA18" i="7" s="1"/>
  <c r="CQ13" i="7"/>
  <c r="CQ14" i="7" s="1"/>
  <c r="CQ18" i="7" s="1"/>
  <c r="CB13" i="7"/>
  <c r="CB14" i="7" s="1"/>
  <c r="CB18" i="7" s="1"/>
  <c r="C6" i="4"/>
  <c r="L11" i="4"/>
  <c r="H11" i="4"/>
  <c r="D11" i="4"/>
  <c r="CV13" i="7"/>
  <c r="BP13" i="7"/>
  <c r="BP14" i="7" s="1"/>
  <c r="BP18" i="7" s="1"/>
  <c r="E13" i="7"/>
  <c r="E14" i="7" s="1"/>
  <c r="E18" i="7" s="1"/>
  <c r="AU13" i="7"/>
  <c r="AU14" i="7" s="1"/>
  <c r="AU18" i="7" s="1"/>
  <c r="I10" i="4"/>
  <c r="E10" i="4"/>
  <c r="AD13" i="7"/>
  <c r="AD14" i="7" s="1"/>
  <c r="AD18" i="7" s="1"/>
  <c r="BU13" i="7"/>
  <c r="BU14" i="7" s="1"/>
  <c r="BU18" i="7" s="1"/>
  <c r="DK13" i="7"/>
  <c r="DK14" i="7" s="1"/>
  <c r="DK18" i="7" s="1"/>
  <c r="AI13" i="7"/>
  <c r="AI14" i="7" s="1"/>
  <c r="AI18" i="7" s="1"/>
  <c r="BZ13" i="7"/>
  <c r="BZ14" i="7" s="1"/>
  <c r="BZ18" i="7" s="1"/>
  <c r="DQ14" i="7"/>
  <c r="DQ18" i="7" s="1"/>
  <c r="CN13" i="7"/>
  <c r="L13" i="7"/>
  <c r="L14" i="7" s="1"/>
  <c r="L18" i="7" s="1"/>
  <c r="DR13" i="7"/>
  <c r="DR14" i="7" s="1"/>
  <c r="DR18" i="7" s="1"/>
  <c r="BL13" i="7"/>
  <c r="BL14" i="7" s="1"/>
  <c r="AV13" i="7"/>
  <c r="AV14" i="7" s="1"/>
  <c r="AV18" i="7" s="1"/>
  <c r="C10" i="4"/>
  <c r="I11" i="4"/>
  <c r="E11" i="4"/>
  <c r="J6" i="4"/>
  <c r="F6" i="4"/>
  <c r="AK13" i="7"/>
  <c r="AK14" i="7" s="1"/>
  <c r="AK18" i="7" s="1"/>
  <c r="AE13" i="7"/>
  <c r="AE14" i="7" s="1"/>
  <c r="AE18" i="7" s="1"/>
  <c r="BV13" i="7"/>
  <c r="BV14" i="7" s="1"/>
  <c r="BV18" i="7" s="1"/>
  <c r="DM13" i="7"/>
  <c r="DM14" i="7" s="1"/>
  <c r="DM18" i="7" s="1"/>
  <c r="DH13" i="7"/>
  <c r="BG42" i="7" l="1"/>
  <c r="BB42" i="7"/>
  <c r="BM39" i="7"/>
  <c r="BG39" i="7"/>
  <c r="K7" i="4"/>
  <c r="J7" i="4"/>
  <c r="E7" i="4"/>
  <c r="D7" i="4"/>
  <c r="F7" i="4"/>
  <c r="AM42" i="7"/>
  <c r="AM39" i="7"/>
  <c r="BY42" i="7"/>
  <c r="BY39" i="7"/>
  <c r="L35" i="7"/>
  <c r="L36" i="7" s="1"/>
  <c r="L38" i="7" s="1"/>
  <c r="BZ35" i="7"/>
  <c r="BZ36" i="7" s="1"/>
  <c r="BZ38" i="7" s="1"/>
  <c r="AD35" i="7"/>
  <c r="AD36" i="7" s="1"/>
  <c r="AD38" i="7" s="1"/>
  <c r="E35" i="7"/>
  <c r="E36" i="7" s="1"/>
  <c r="E38" i="7" s="1"/>
  <c r="CB35" i="7"/>
  <c r="CB36" i="7" s="1"/>
  <c r="CB38" i="7" s="1"/>
  <c r="DJ35" i="7"/>
  <c r="DJ36" i="7" s="1"/>
  <c r="DJ38" i="7" s="1"/>
  <c r="DG42" i="7"/>
  <c r="DG39" i="7"/>
  <c r="AT35" i="7"/>
  <c r="AT36" i="7" s="1"/>
  <c r="AT38" i="7" s="1"/>
  <c r="CY42" i="7"/>
  <c r="CY39" i="7"/>
  <c r="DD35" i="7"/>
  <c r="DD36" i="7" s="1"/>
  <c r="DD38" i="7" s="1"/>
  <c r="AY35" i="7"/>
  <c r="AY36" i="7" s="1"/>
  <c r="AY38" i="7" s="1"/>
  <c r="AQ42" i="7"/>
  <c r="AQ39" i="7"/>
  <c r="DN42" i="7"/>
  <c r="DN39" i="7"/>
  <c r="K42" i="7"/>
  <c r="K39" i="7"/>
  <c r="DO42" i="7"/>
  <c r="DO39" i="7"/>
  <c r="CL42" i="7"/>
  <c r="CL39" i="7"/>
  <c r="DP42" i="7"/>
  <c r="DP39" i="7"/>
  <c r="Z42" i="7"/>
  <c r="Z39" i="7"/>
  <c r="S39" i="7"/>
  <c r="S42" i="7"/>
  <c r="AV35" i="7"/>
  <c r="AV36" i="7" s="1"/>
  <c r="AV38" i="7" s="1"/>
  <c r="AI35" i="7"/>
  <c r="AI36" i="7" s="1"/>
  <c r="AI38" i="7" s="1"/>
  <c r="BP35" i="7"/>
  <c r="BP36" i="7" s="1"/>
  <c r="BP38" i="7" s="1"/>
  <c r="BS35" i="7"/>
  <c r="BS36" i="7" s="1"/>
  <c r="BS38" i="7" s="1"/>
  <c r="Q42" i="7"/>
  <c r="Q39" i="7"/>
  <c r="T35" i="7"/>
  <c r="T36" i="7" s="1"/>
  <c r="T38" i="7" s="1"/>
  <c r="BI42" i="7"/>
  <c r="BI39" i="7"/>
  <c r="CT42" i="7"/>
  <c r="CT39" i="7"/>
  <c r="AF35" i="7"/>
  <c r="AF36" i="7" s="1"/>
  <c r="AF38" i="7" s="1"/>
  <c r="CU35" i="7"/>
  <c r="CU36" i="7" s="1"/>
  <c r="CU38" i="7" s="1"/>
  <c r="I35" i="7"/>
  <c r="I36" i="7" s="1"/>
  <c r="I38" i="7" s="1"/>
  <c r="CF35" i="7"/>
  <c r="CF36" i="7" s="1"/>
  <c r="CF38" i="7" s="1"/>
  <c r="Y35" i="7"/>
  <c r="Y36" i="7" s="1"/>
  <c r="Y38" i="7" s="1"/>
  <c r="DE42" i="7"/>
  <c r="DE39" i="7"/>
  <c r="AG42" i="7"/>
  <c r="AG39" i="7"/>
  <c r="U42" i="7"/>
  <c r="U39" i="7"/>
  <c r="BC42" i="7"/>
  <c r="BC39" i="7"/>
  <c r="DB39" i="7"/>
  <c r="DB42" i="7"/>
  <c r="AO42" i="7"/>
  <c r="AO39" i="7"/>
  <c r="CG42" i="7"/>
  <c r="CG39" i="7"/>
  <c r="CA42" i="7"/>
  <c r="CA39" i="7"/>
  <c r="BT39" i="7"/>
  <c r="BT42" i="7"/>
  <c r="DK35" i="7"/>
  <c r="DK36" i="7" s="1"/>
  <c r="DK38" i="7" s="1"/>
  <c r="CW42" i="7"/>
  <c r="CW39" i="7"/>
  <c r="AR35" i="7"/>
  <c r="AR36" i="7" s="1"/>
  <c r="AR38" i="7" s="1"/>
  <c r="AZ18" i="7"/>
  <c r="G8" i="4"/>
  <c r="R42" i="7"/>
  <c r="R39" i="7"/>
  <c r="M42" i="7"/>
  <c r="M39" i="7"/>
  <c r="O35" i="7"/>
  <c r="O36" i="7" s="1"/>
  <c r="O38" i="7" s="1"/>
  <c r="CH35" i="7"/>
  <c r="CH36" i="7" s="1"/>
  <c r="CH38" i="7" s="1"/>
  <c r="CZ39" i="7"/>
  <c r="CZ42" i="7"/>
  <c r="DS42" i="7"/>
  <c r="DS39" i="7"/>
  <c r="F42" i="7"/>
  <c r="F39" i="7"/>
  <c r="X42" i="7"/>
  <c r="X39" i="7"/>
  <c r="BV35" i="7"/>
  <c r="BV36" i="7" s="1"/>
  <c r="BV38" i="7" s="1"/>
  <c r="AL42" i="7"/>
  <c r="AL39" i="7"/>
  <c r="DR35" i="7"/>
  <c r="DR36" i="7" s="1"/>
  <c r="DR38" i="7" s="1"/>
  <c r="BU35" i="7"/>
  <c r="BU36" i="7" s="1"/>
  <c r="BU38" i="7" s="1"/>
  <c r="AU35" i="7"/>
  <c r="AU36" i="7" s="1"/>
  <c r="AU38" i="7" s="1"/>
  <c r="BA35" i="7"/>
  <c r="BA36" i="7" s="1"/>
  <c r="BA38" i="7" s="1"/>
  <c r="BD42" i="7"/>
  <c r="BD39" i="7"/>
  <c r="CR35" i="7"/>
  <c r="CR36" i="7" s="1"/>
  <c r="CR38" i="7" s="1"/>
  <c r="N35" i="7"/>
  <c r="N36" i="7" s="1"/>
  <c r="N38" i="7" s="1"/>
  <c r="CP35" i="7"/>
  <c r="CP36" i="7" s="1"/>
  <c r="CP38" i="7" s="1"/>
  <c r="BJ39" i="7"/>
  <c r="BJ42" i="7"/>
  <c r="BN42" i="7"/>
  <c r="BN39" i="7"/>
  <c r="V42" i="7"/>
  <c r="V39" i="7"/>
  <c r="DA42" i="7"/>
  <c r="DA39" i="7"/>
  <c r="CS42" i="7"/>
  <c r="CS39" i="7"/>
  <c r="CD42" i="7"/>
  <c r="CD39" i="7"/>
  <c r="CX42" i="7"/>
  <c r="CX39" i="7"/>
  <c r="L7" i="4"/>
  <c r="BX18" i="7"/>
  <c r="I8" i="4"/>
  <c r="BH35" i="7"/>
  <c r="BH36" i="7" s="1"/>
  <c r="BH38" i="7" s="1"/>
  <c r="CO35" i="7"/>
  <c r="CO36" i="7" s="1"/>
  <c r="CO38" i="7" s="1"/>
  <c r="C7" i="4"/>
  <c r="DF35" i="7"/>
  <c r="DF36" i="7" s="1"/>
  <c r="DF38" i="7" s="1"/>
  <c r="F5" i="11"/>
  <c r="F41" i="1" s="1"/>
  <c r="AN35" i="7"/>
  <c r="F12" i="4"/>
  <c r="AA42" i="7"/>
  <c r="AA39" i="7"/>
  <c r="CM42" i="7"/>
  <c r="CM39" i="7"/>
  <c r="BR42" i="7"/>
  <c r="BR39" i="7"/>
  <c r="CC42" i="7"/>
  <c r="CC39" i="7"/>
  <c r="AK35" i="7"/>
  <c r="AK36" i="7" s="1"/>
  <c r="AK38" i="7" s="1"/>
  <c r="BL18" i="7"/>
  <c r="H8" i="4"/>
  <c r="CV14" i="7"/>
  <c r="H7" i="4"/>
  <c r="I7" i="4"/>
  <c r="DI42" i="7"/>
  <c r="DI39" i="7"/>
  <c r="CJ35" i="7"/>
  <c r="DH14" i="7"/>
  <c r="AX35" i="7"/>
  <c r="AX36" i="7" s="1"/>
  <c r="AX38" i="7" s="1"/>
  <c r="AJ35" i="7"/>
  <c r="AJ36" i="7" s="1"/>
  <c r="AJ38" i="7" s="1"/>
  <c r="BO35" i="7"/>
  <c r="BO36" i="7" s="1"/>
  <c r="BO38" i="7" s="1"/>
  <c r="CN14" i="7"/>
  <c r="CN18" i="7" s="1"/>
  <c r="J5" i="11" s="1"/>
  <c r="J41" i="1" s="1"/>
  <c r="AC14" i="7"/>
  <c r="AC18" i="7" s="1"/>
  <c r="DM35" i="7"/>
  <c r="DM36" i="7" s="1"/>
  <c r="DM38" i="7" s="1"/>
  <c r="DQ35" i="7"/>
  <c r="DQ36" i="7" s="1"/>
  <c r="DQ38" i="7" s="1"/>
  <c r="CQ35" i="7"/>
  <c r="CQ36" i="7" s="1"/>
  <c r="CQ38" i="7" s="1"/>
  <c r="J35" i="7"/>
  <c r="J36" i="7" s="1"/>
  <c r="J38" i="7" s="1"/>
  <c r="BF35" i="7"/>
  <c r="BF36" i="7" s="1"/>
  <c r="BF38" i="7" s="1"/>
  <c r="CI42" i="7"/>
  <c r="CI39" i="7"/>
  <c r="G7" i="4"/>
  <c r="G35" i="7"/>
  <c r="G36" i="7" s="1"/>
  <c r="G38" i="7" s="1"/>
  <c r="AP35" i="7"/>
  <c r="AP36" i="7" s="1"/>
  <c r="AP38" i="7" s="1"/>
  <c r="AH42" i="7"/>
  <c r="AH39" i="7"/>
  <c r="AS42" i="7"/>
  <c r="AS39" i="7"/>
  <c r="BK39" i="7"/>
  <c r="BK42" i="7"/>
  <c r="CE39" i="7"/>
  <c r="CE42" i="7"/>
  <c r="AW42" i="7"/>
  <c r="AW39" i="7"/>
  <c r="AE35" i="7"/>
  <c r="AE36" i="7" s="1"/>
  <c r="AE38" i="7" s="1"/>
  <c r="W42" i="7"/>
  <c r="W39" i="7"/>
  <c r="P18" i="7"/>
  <c r="D8" i="4"/>
  <c r="AB18" i="7"/>
  <c r="CK35" i="7"/>
  <c r="CK36" i="7" s="1"/>
  <c r="CK38" i="7" s="1"/>
  <c r="BE35" i="7"/>
  <c r="BE36" i="7" s="1"/>
  <c r="BE38" i="7" s="1"/>
  <c r="BW35" i="7"/>
  <c r="BW36" i="7" s="1"/>
  <c r="BW38" i="7" s="1"/>
  <c r="BQ35" i="7"/>
  <c r="BQ36" i="7" s="1"/>
  <c r="BQ38" i="7" s="1"/>
  <c r="DL35" i="7"/>
  <c r="DL36" i="7" s="1"/>
  <c r="DL38" i="7" s="1"/>
  <c r="F8" i="4"/>
  <c r="D14" i="7"/>
  <c r="D18" i="7" s="1"/>
  <c r="D35" i="7" s="1"/>
  <c r="DC42" i="7"/>
  <c r="DC39" i="7"/>
  <c r="H39" i="7"/>
  <c r="H42" i="7"/>
  <c r="E8" i="4" l="1"/>
  <c r="BQ42" i="7"/>
  <c r="BQ39" i="7"/>
  <c r="DM42" i="7"/>
  <c r="DM39" i="7"/>
  <c r="AK42" i="7"/>
  <c r="AK39" i="7"/>
  <c r="DF42" i="7"/>
  <c r="DF39" i="7"/>
  <c r="BU42" i="7"/>
  <c r="BU39" i="7"/>
  <c r="DL39" i="7"/>
  <c r="DL42" i="7"/>
  <c r="CK42" i="7"/>
  <c r="CK39" i="7"/>
  <c r="DQ42" i="7"/>
  <c r="DQ39" i="7"/>
  <c r="BO42" i="7"/>
  <c r="BO39" i="7"/>
  <c r="BA42" i="7"/>
  <c r="BA39" i="7"/>
  <c r="O42" i="7"/>
  <c r="O39" i="7"/>
  <c r="AF42" i="7"/>
  <c r="AF39" i="7"/>
  <c r="E42" i="7"/>
  <c r="E39" i="7"/>
  <c r="AJ42" i="7"/>
  <c r="AJ39" i="7"/>
  <c r="AU42" i="7"/>
  <c r="AU39" i="7"/>
  <c r="I42" i="7"/>
  <c r="I39" i="7"/>
  <c r="T39" i="7"/>
  <c r="T42" i="7"/>
  <c r="AD39" i="7"/>
  <c r="AD42" i="7"/>
  <c r="Y42" i="7"/>
  <c r="Y39" i="7"/>
  <c r="BP42" i="7"/>
  <c r="BP39" i="7"/>
  <c r="AY39" i="7"/>
  <c r="AY42" i="7"/>
  <c r="DJ42" i="7"/>
  <c r="DJ39" i="7"/>
  <c r="BZ42" i="7"/>
  <c r="BZ39" i="7"/>
  <c r="BF42" i="7"/>
  <c r="BF39" i="7"/>
  <c r="BW42" i="7"/>
  <c r="BW39" i="7"/>
  <c r="J39" i="7"/>
  <c r="J42" i="7"/>
  <c r="BH42" i="7"/>
  <c r="BH39" i="7"/>
  <c r="BV39" i="7"/>
  <c r="BV42" i="7"/>
  <c r="BE42" i="7"/>
  <c r="BE39" i="7"/>
  <c r="AP39" i="7"/>
  <c r="AP42" i="7"/>
  <c r="CQ39" i="7"/>
  <c r="CQ42" i="7"/>
  <c r="DR42" i="7"/>
  <c r="DR39" i="7"/>
  <c r="CH42" i="7"/>
  <c r="CH39" i="7"/>
  <c r="AR42" i="7"/>
  <c r="AR39" i="7"/>
  <c r="AI42" i="7"/>
  <c r="AI39" i="7"/>
  <c r="DD42" i="7"/>
  <c r="DD39" i="7"/>
  <c r="CB42" i="7"/>
  <c r="CB39" i="7"/>
  <c r="L42" i="7"/>
  <c r="L39" i="7"/>
  <c r="C8" i="4"/>
  <c r="E5" i="11"/>
  <c r="AB35" i="7"/>
  <c r="E12" i="4"/>
  <c r="CN35" i="7"/>
  <c r="CN36" i="7" s="1"/>
  <c r="CN38" i="7" s="1"/>
  <c r="J12" i="4"/>
  <c r="H5" i="11"/>
  <c r="H41" i="1" s="1"/>
  <c r="H12" i="4"/>
  <c r="BL35" i="7"/>
  <c r="F20" i="5"/>
  <c r="AN36" i="7"/>
  <c r="I5" i="11"/>
  <c r="I41" i="1" s="1"/>
  <c r="BX35" i="7"/>
  <c r="I12" i="4"/>
  <c r="G42" i="7"/>
  <c r="G39" i="7"/>
  <c r="AX42" i="7"/>
  <c r="AX39" i="7"/>
  <c r="CJ36" i="7"/>
  <c r="CP39" i="7"/>
  <c r="CP42" i="7"/>
  <c r="CR42" i="7"/>
  <c r="CR39" i="7"/>
  <c r="G5" i="11"/>
  <c r="G41" i="1" s="1"/>
  <c r="AZ35" i="7"/>
  <c r="G12" i="4"/>
  <c r="AV42" i="7"/>
  <c r="AV39" i="7"/>
  <c r="AE39" i="7"/>
  <c r="AE42" i="7"/>
  <c r="D5" i="11"/>
  <c r="D41" i="1" s="1"/>
  <c r="D12" i="4"/>
  <c r="P35" i="7"/>
  <c r="CV18" i="7"/>
  <c r="K8" i="4"/>
  <c r="J8" i="4"/>
  <c r="AC35" i="7"/>
  <c r="AC36" i="7" s="1"/>
  <c r="AC38" i="7" s="1"/>
  <c r="DH18" i="7"/>
  <c r="L8" i="4"/>
  <c r="CO42" i="7"/>
  <c r="CO39" i="7"/>
  <c r="N42" i="7"/>
  <c r="N39" i="7"/>
  <c r="DK39" i="7"/>
  <c r="DK42" i="7"/>
  <c r="CF39" i="7"/>
  <c r="CF42" i="7"/>
  <c r="CU42" i="7"/>
  <c r="CU39" i="7"/>
  <c r="BS42" i="7"/>
  <c r="BS39" i="7"/>
  <c r="AT42" i="7"/>
  <c r="AT39" i="7"/>
  <c r="AC42" i="7" l="1"/>
  <c r="AC39" i="7"/>
  <c r="CN42" i="7"/>
  <c r="CN39" i="7"/>
  <c r="L5" i="11"/>
  <c r="L41" i="1" s="1"/>
  <c r="L12" i="4"/>
  <c r="DH35" i="7"/>
  <c r="D20" i="5"/>
  <c r="P36" i="7"/>
  <c r="J20" i="5"/>
  <c r="I20" i="5"/>
  <c r="BX36" i="7"/>
  <c r="H20" i="5"/>
  <c r="BL36" i="7"/>
  <c r="C5" i="11"/>
  <c r="C41" i="1" s="1"/>
  <c r="C12" i="4"/>
  <c r="K5" i="11"/>
  <c r="K41" i="1" s="1"/>
  <c r="CV35" i="7"/>
  <c r="K12" i="4"/>
  <c r="G20" i="5"/>
  <c r="AZ36" i="7"/>
  <c r="E20" i="5"/>
  <c r="AB36" i="7"/>
  <c r="J6" i="11"/>
  <c r="J21" i="5"/>
  <c r="J23" i="5" s="1"/>
  <c r="CJ38" i="7"/>
  <c r="F6" i="11"/>
  <c r="F21" i="5"/>
  <c r="F23" i="5" s="1"/>
  <c r="AN38" i="7"/>
  <c r="B15" i="17"/>
  <c r="E41" i="1"/>
  <c r="J7" i="11" l="1"/>
  <c r="CI44" i="7"/>
  <c r="B24" i="12" s="1"/>
  <c r="D24" i="12" s="1"/>
  <c r="CJ42" i="7"/>
  <c r="CJ39" i="7"/>
  <c r="CH44" i="7"/>
  <c r="BY44" i="7"/>
  <c r="BX44" i="7"/>
  <c r="CG44" i="7"/>
  <c r="CF44" i="7"/>
  <c r="CA44" i="7"/>
  <c r="CC44" i="7"/>
  <c r="CE44" i="7"/>
  <c r="CB44" i="7"/>
  <c r="CD44" i="7"/>
  <c r="BZ44" i="7"/>
  <c r="K20" i="5"/>
  <c r="CV36" i="7"/>
  <c r="F7" i="11"/>
  <c r="AN39" i="7"/>
  <c r="AM44" i="7"/>
  <c r="AN42" i="7"/>
  <c r="AL44" i="7"/>
  <c r="AK44" i="7"/>
  <c r="AF44" i="7"/>
  <c r="AJ44" i="7"/>
  <c r="AE44" i="7"/>
  <c r="AH44" i="7"/>
  <c r="AG44" i="7"/>
  <c r="AD44" i="7"/>
  <c r="AI44" i="7"/>
  <c r="AC44" i="7"/>
  <c r="E6" i="11"/>
  <c r="E21" i="5"/>
  <c r="E23" i="5" s="1"/>
  <c r="AB38" i="7"/>
  <c r="H6" i="11"/>
  <c r="H21" i="5"/>
  <c r="H23" i="5" s="1"/>
  <c r="BL38" i="7"/>
  <c r="BF44" i="7" s="1"/>
  <c r="L20" i="5"/>
  <c r="DH36" i="7"/>
  <c r="C20" i="5"/>
  <c r="D36" i="7"/>
  <c r="D6" i="11"/>
  <c r="D21" i="5"/>
  <c r="D23" i="5" s="1"/>
  <c r="P38" i="7"/>
  <c r="J44" i="7" s="1"/>
  <c r="G6" i="11"/>
  <c r="G21" i="5"/>
  <c r="G23" i="5" s="1"/>
  <c r="AZ38" i="7"/>
  <c r="I6" i="11"/>
  <c r="I21" i="5"/>
  <c r="I23" i="5" s="1"/>
  <c r="BX38" i="7"/>
  <c r="AB44" i="7"/>
  <c r="B16" i="17" l="1"/>
  <c r="E15" i="17"/>
  <c r="B20" i="12"/>
  <c r="D20" i="12" s="1"/>
  <c r="B6" i="10"/>
  <c r="E24" i="12"/>
  <c r="D7" i="11"/>
  <c r="O44" i="7"/>
  <c r="B18" i="12" s="1"/>
  <c r="D18" i="12" s="1"/>
  <c r="P42" i="7"/>
  <c r="P39" i="7"/>
  <c r="N44" i="7"/>
  <c r="D44" i="7"/>
  <c r="H44" i="7"/>
  <c r="I44" i="7"/>
  <c r="K44" i="7"/>
  <c r="E44" i="7"/>
  <c r="G44" i="7"/>
  <c r="F44" i="7"/>
  <c r="L44" i="7"/>
  <c r="M44" i="7"/>
  <c r="G7" i="11"/>
  <c r="AY44" i="7"/>
  <c r="B21" i="12" s="1"/>
  <c r="D21" i="12" s="1"/>
  <c r="AZ39" i="7"/>
  <c r="AZ42" i="7"/>
  <c r="AT44" i="7"/>
  <c r="AO44" i="7"/>
  <c r="AN44" i="7"/>
  <c r="AQ44" i="7"/>
  <c r="AX44" i="7"/>
  <c r="AP44" i="7"/>
  <c r="AU44" i="7"/>
  <c r="AV44" i="7"/>
  <c r="AR44" i="7"/>
  <c r="AW44" i="7"/>
  <c r="AS44" i="7"/>
  <c r="L6" i="11"/>
  <c r="L21" i="5"/>
  <c r="L23" i="5" s="1"/>
  <c r="DH38" i="7"/>
  <c r="K6" i="11"/>
  <c r="K21" i="5"/>
  <c r="K23" i="5" s="1"/>
  <c r="CV38" i="7"/>
  <c r="J10" i="11"/>
  <c r="J42" i="1"/>
  <c r="E7" i="11"/>
  <c r="AB42" i="7"/>
  <c r="AB39" i="7"/>
  <c r="AA44" i="7"/>
  <c r="B19" i="12" s="1"/>
  <c r="D19" i="12" s="1"/>
  <c r="Y44" i="7"/>
  <c r="Z44" i="7"/>
  <c r="S44" i="7"/>
  <c r="Q44" i="7"/>
  <c r="U44" i="7"/>
  <c r="R44" i="7"/>
  <c r="T44" i="7"/>
  <c r="W44" i="7"/>
  <c r="P44" i="7"/>
  <c r="X44" i="7"/>
  <c r="V44" i="7"/>
  <c r="F10" i="11"/>
  <c r="F42" i="1"/>
  <c r="I7" i="11"/>
  <c r="BX42" i="7"/>
  <c r="BX39" i="7"/>
  <c r="BW44" i="7"/>
  <c r="B23" i="12" s="1"/>
  <c r="D23" i="12" s="1"/>
  <c r="BP44" i="7"/>
  <c r="BS44" i="7"/>
  <c r="BN44" i="7"/>
  <c r="BM44" i="7"/>
  <c r="BV44" i="7"/>
  <c r="BR44" i="7"/>
  <c r="BT44" i="7"/>
  <c r="BO44" i="7"/>
  <c r="BQ44" i="7"/>
  <c r="BL44" i="7"/>
  <c r="BU44" i="7"/>
  <c r="C6" i="11"/>
  <c r="C21" i="5"/>
  <c r="C23" i="5" s="1"/>
  <c r="D38" i="7"/>
  <c r="D39" i="7" s="1"/>
  <c r="H7" i="11"/>
  <c r="BK44" i="7"/>
  <c r="BL42" i="7"/>
  <c r="BL39" i="7"/>
  <c r="BH44" i="7"/>
  <c r="BJ44" i="7"/>
  <c r="BI44" i="7"/>
  <c r="BG44" i="7"/>
  <c r="BB44" i="7"/>
  <c r="AZ44" i="7"/>
  <c r="BA44" i="7"/>
  <c r="BC44" i="7"/>
  <c r="BE44" i="7"/>
  <c r="BD44" i="7"/>
  <c r="F5" i="13"/>
  <c r="F9" i="11"/>
  <c r="J5" i="13"/>
  <c r="J9" i="11"/>
  <c r="K7" i="11" l="1"/>
  <c r="CU44" i="7"/>
  <c r="B25" i="12" s="1"/>
  <c r="D25" i="12" s="1"/>
  <c r="CV42" i="7"/>
  <c r="CV39" i="7"/>
  <c r="CR44" i="7"/>
  <c r="CQ44" i="7"/>
  <c r="CN44" i="7"/>
  <c r="CS44" i="7"/>
  <c r="CO44" i="7"/>
  <c r="CT44" i="7"/>
  <c r="CP44" i="7"/>
  <c r="CJ44" i="7"/>
  <c r="CM44" i="7"/>
  <c r="CK44" i="7"/>
  <c r="CL44" i="7"/>
  <c r="H5" i="13"/>
  <c r="H9" i="11"/>
  <c r="H10" i="11"/>
  <c r="H42" i="1"/>
  <c r="I10" i="11"/>
  <c r="I42" i="1"/>
  <c r="E9" i="11"/>
  <c r="E5" i="13"/>
  <c r="B10" i="10"/>
  <c r="B8" i="10"/>
  <c r="B9" i="10" s="1"/>
  <c r="B11" i="10" s="1"/>
  <c r="AM12" i="9" s="1"/>
  <c r="B22" i="12"/>
  <c r="D22" i="12" s="1"/>
  <c r="B7" i="12"/>
  <c r="C7" i="11"/>
  <c r="D42" i="7"/>
  <c r="I5" i="13"/>
  <c r="I9" i="11"/>
  <c r="L7" i="11"/>
  <c r="DG44" i="7"/>
  <c r="B26" i="12" s="1"/>
  <c r="D26" i="12" s="1"/>
  <c r="DH42" i="7"/>
  <c r="DH39" i="7"/>
  <c r="DS44" i="7"/>
  <c r="B27" i="12" s="1"/>
  <c r="D27" i="12" s="1"/>
  <c r="DR44" i="7"/>
  <c r="DF44" i="7"/>
  <c r="DE44" i="7"/>
  <c r="DP44" i="7"/>
  <c r="DA44" i="7"/>
  <c r="DI44" i="7"/>
  <c r="CW44" i="7"/>
  <c r="DH44" i="7"/>
  <c r="DD44" i="7"/>
  <c r="DK44" i="7"/>
  <c r="CX44" i="7"/>
  <c r="DN44" i="7"/>
  <c r="DB44" i="7"/>
  <c r="DO44" i="7"/>
  <c r="DL44" i="7"/>
  <c r="CV44" i="7"/>
  <c r="DJ44" i="7"/>
  <c r="DQ44" i="7"/>
  <c r="DC44" i="7"/>
  <c r="CZ44" i="7"/>
  <c r="CY44" i="7"/>
  <c r="DM44" i="7"/>
  <c r="E21" i="12"/>
  <c r="D5" i="13"/>
  <c r="D9" i="11"/>
  <c r="D10" i="11"/>
  <c r="D42" i="1"/>
  <c r="E20" i="12"/>
  <c r="E19" i="12"/>
  <c r="G10" i="11"/>
  <c r="G42" i="1"/>
  <c r="E18" i="12"/>
  <c r="E23" i="12"/>
  <c r="E16" i="17"/>
  <c r="B17" i="17"/>
  <c r="E10" i="11"/>
  <c r="B16" i="11"/>
  <c r="B5" i="8"/>
  <c r="E42" i="1"/>
  <c r="G5" i="13"/>
  <c r="G9" i="11"/>
  <c r="E10" i="17" l="1"/>
  <c r="E11" i="17"/>
  <c r="E9" i="17"/>
  <c r="B12" i="1"/>
  <c r="K10" i="11"/>
  <c r="K42" i="1"/>
  <c r="L9" i="11"/>
  <c r="L5" i="13"/>
  <c r="L10" i="11"/>
  <c r="L42" i="1"/>
  <c r="C5" i="13"/>
  <c r="C9" i="11"/>
  <c r="B18" i="16"/>
  <c r="C18" i="16"/>
  <c r="D18" i="16"/>
  <c r="B9" i="12"/>
  <c r="E26" i="12"/>
  <c r="D17" i="16"/>
  <c r="C17" i="16"/>
  <c r="C10" i="11"/>
  <c r="B14" i="11"/>
  <c r="B15" i="11" s="1"/>
  <c r="B17" i="16"/>
  <c r="C42" i="1"/>
  <c r="E22" i="12"/>
  <c r="K9" i="11"/>
  <c r="K5" i="13"/>
  <c r="B8" i="8"/>
  <c r="B9" i="8"/>
  <c r="E27" i="12"/>
  <c r="E25" i="12"/>
  <c r="B10" i="8" l="1"/>
  <c r="B13" i="10"/>
  <c r="E8" i="17"/>
  <c r="B11" i="1"/>
  <c r="B10" i="12"/>
  <c r="B11" i="12"/>
  <c r="B17" i="1"/>
  <c r="AM13" i="9"/>
  <c r="B26" i="8" l="1"/>
  <c r="B14" i="1" s="1"/>
  <c r="B21" i="8"/>
  <c r="D10" i="9"/>
  <c r="D19" i="9" s="1"/>
  <c r="B15" i="8"/>
  <c r="B18" i="8" s="1"/>
  <c r="B13" i="1"/>
  <c r="AM14" i="9"/>
  <c r="AM16" i="9" s="1"/>
  <c r="AN12" i="9" s="1"/>
  <c r="E7" i="17"/>
  <c r="B10" i="1"/>
  <c r="B23" i="8" l="1"/>
  <c r="B15" i="13"/>
  <c r="D7" i="9"/>
  <c r="D9" i="9" s="1"/>
  <c r="D18" i="9" s="1"/>
  <c r="B60" i="15"/>
  <c r="B45" i="15"/>
  <c r="B62" i="15"/>
  <c r="B33" i="13"/>
  <c r="C26" i="14"/>
  <c r="B30" i="13"/>
  <c r="B55" i="15"/>
  <c r="B15" i="1"/>
  <c r="B28" i="15"/>
  <c r="B31" i="13"/>
  <c r="B33" i="15"/>
  <c r="B63" i="15"/>
  <c r="B34" i="15"/>
  <c r="B26" i="14"/>
  <c r="B42" i="15"/>
  <c r="B19" i="15"/>
  <c r="B39" i="15"/>
  <c r="B17" i="15"/>
  <c r="B24" i="13"/>
  <c r="B32" i="13"/>
  <c r="B18" i="15"/>
  <c r="B50" i="15"/>
  <c r="B40" i="15"/>
  <c r="B64" i="15"/>
  <c r="B53" i="15"/>
  <c r="B29" i="13"/>
  <c r="B51" i="15"/>
  <c r="B66" i="15"/>
  <c r="B21" i="15"/>
  <c r="B26" i="13"/>
  <c r="B29" i="15"/>
  <c r="B20" i="15"/>
  <c r="B23" i="15"/>
  <c r="B44" i="15"/>
  <c r="B31" i="15"/>
  <c r="B61" i="15"/>
  <c r="B32" i="15"/>
  <c r="B25" i="13"/>
  <c r="B27" i="13"/>
  <c r="B10" i="13"/>
  <c r="B11" i="13" s="1"/>
  <c r="B54" i="15"/>
  <c r="B28" i="13"/>
  <c r="B43" i="15"/>
  <c r="B22" i="15"/>
  <c r="B30" i="15"/>
  <c r="B52" i="15"/>
  <c r="B41" i="15"/>
  <c r="B65" i="15"/>
  <c r="B24" i="8"/>
  <c r="B6" i="18" s="1"/>
  <c r="AM15" i="9"/>
  <c r="E6" i="9"/>
  <c r="D20" i="9" l="1"/>
  <c r="B15" i="18"/>
  <c r="B12" i="13"/>
  <c r="B10" i="14"/>
  <c r="C6" i="14" s="1"/>
  <c r="C15" i="18"/>
  <c r="B27" i="8"/>
  <c r="C5" i="18" s="1"/>
  <c r="C6" i="18"/>
  <c r="E7" i="9"/>
  <c r="E9" i="9" s="1"/>
  <c r="E18" i="9" s="1"/>
  <c r="E10" i="9"/>
  <c r="D22" i="9"/>
  <c r="D21" i="9"/>
  <c r="AN13" i="9"/>
  <c r="B19" i="14" l="1"/>
  <c r="B20" i="14"/>
  <c r="E19" i="9"/>
  <c r="F6" i="9"/>
  <c r="AN14" i="9"/>
  <c r="AN16" i="9" s="1"/>
  <c r="AO12" i="9" s="1"/>
  <c r="E20" i="9"/>
  <c r="F10" i="9" l="1"/>
  <c r="F7" i="9"/>
  <c r="F9" i="9" s="1"/>
  <c r="F18" i="9" s="1"/>
  <c r="AN15" i="9"/>
  <c r="E22" i="9"/>
  <c r="E21" i="9"/>
  <c r="F20" i="9" l="1"/>
  <c r="G6" i="9"/>
  <c r="F19" i="9"/>
  <c r="AO13" i="9"/>
  <c r="F22" i="9" l="1"/>
  <c r="F21" i="9"/>
  <c r="G10" i="9"/>
  <c r="G7" i="9"/>
  <c r="G9" i="9" s="1"/>
  <c r="G18" i="9" s="1"/>
  <c r="AO14" i="9"/>
  <c r="AO16" i="9" s="1"/>
  <c r="AP12" i="9" s="1"/>
  <c r="G19" i="9" l="1"/>
  <c r="H6" i="9"/>
  <c r="G20" i="9"/>
  <c r="AO15" i="9"/>
  <c r="H10" i="9" l="1"/>
  <c r="H7" i="9"/>
  <c r="H9" i="9" s="1"/>
  <c r="H18" i="9" s="1"/>
  <c r="G22" i="9"/>
  <c r="G21" i="9"/>
  <c r="AP13" i="9"/>
  <c r="H20" i="9" l="1"/>
  <c r="AP14" i="9"/>
  <c r="AP16" i="9" s="1"/>
  <c r="AQ12" i="9" s="1"/>
  <c r="H19" i="9"/>
  <c r="I6" i="9"/>
  <c r="AP15" i="9" l="1"/>
  <c r="I7" i="9"/>
  <c r="I9" i="9" s="1"/>
  <c r="I18" i="9" s="1"/>
  <c r="I20" i="9" s="1"/>
  <c r="I10" i="9"/>
  <c r="H22" i="9"/>
  <c r="H21" i="9"/>
  <c r="AQ13" i="9" l="1"/>
  <c r="I19" i="9"/>
  <c r="J6" i="9"/>
  <c r="AQ14" i="9" l="1"/>
  <c r="AQ16" i="9" s="1"/>
  <c r="AR12" i="9" s="1"/>
  <c r="J10" i="9"/>
  <c r="J7" i="9"/>
  <c r="J9" i="9" s="1"/>
  <c r="J18" i="9" s="1"/>
  <c r="J20" i="9" s="1"/>
  <c r="I22" i="9"/>
  <c r="I21" i="9"/>
  <c r="J19" i="9" l="1"/>
  <c r="K6" i="9"/>
  <c r="AQ15" i="9"/>
  <c r="K10" i="9" l="1"/>
  <c r="K7" i="9"/>
  <c r="K9" i="9" s="1"/>
  <c r="K18" i="9" s="1"/>
  <c r="K20" i="9" s="1"/>
  <c r="J22" i="9"/>
  <c r="J21" i="9"/>
  <c r="AR13" i="9"/>
  <c r="K19" i="9" l="1"/>
  <c r="L6" i="9"/>
  <c r="AR14" i="9"/>
  <c r="AR16" i="9" s="1"/>
  <c r="AS12" i="9" s="1"/>
  <c r="L10" i="9" l="1"/>
  <c r="L7" i="9"/>
  <c r="L9" i="9" s="1"/>
  <c r="L18" i="9" s="1"/>
  <c r="L20" i="9" s="1"/>
  <c r="AR15" i="9"/>
  <c r="K22" i="9"/>
  <c r="K21" i="9"/>
  <c r="AS13" i="9" l="1"/>
  <c r="L19" i="9"/>
  <c r="M6" i="9"/>
  <c r="AS14" i="9" l="1"/>
  <c r="AS16" i="9" s="1"/>
  <c r="AT12" i="9" s="1"/>
  <c r="M10" i="9"/>
  <c r="M7" i="9"/>
  <c r="M9" i="9" s="1"/>
  <c r="M18" i="9" s="1"/>
  <c r="M20" i="9" s="1"/>
  <c r="L22" i="9"/>
  <c r="L21" i="9"/>
  <c r="M19" i="9" l="1"/>
  <c r="N6" i="9"/>
  <c r="AS15" i="9"/>
  <c r="N7" i="9" l="1"/>
  <c r="N9" i="9" s="1"/>
  <c r="N18" i="9" s="1"/>
  <c r="N20" i="9" s="1"/>
  <c r="N10" i="9"/>
  <c r="AT13" i="9"/>
  <c r="M22" i="9"/>
  <c r="M21" i="9"/>
  <c r="N19" i="9" l="1"/>
  <c r="O6" i="9"/>
  <c r="AT14" i="9"/>
  <c r="AT16" i="9" s="1"/>
  <c r="AU12" i="9" s="1"/>
  <c r="O10" i="9" l="1"/>
  <c r="O7" i="9"/>
  <c r="O9" i="9" s="1"/>
  <c r="O18" i="9" s="1"/>
  <c r="C6" i="13" s="1"/>
  <c r="AT15" i="9"/>
  <c r="N22" i="9"/>
  <c r="N21" i="9"/>
  <c r="AU13" i="9" l="1"/>
  <c r="O20" i="9"/>
  <c r="O19" i="9"/>
  <c r="P6" i="9"/>
  <c r="AU14" i="9" l="1"/>
  <c r="AU16" i="9" s="1"/>
  <c r="AV12" i="9" s="1"/>
  <c r="F18" i="12"/>
  <c r="G18" i="12" s="1"/>
  <c r="O22" i="9"/>
  <c r="C44" i="1"/>
  <c r="O21" i="9"/>
  <c r="P10" i="9"/>
  <c r="P7" i="9"/>
  <c r="P9" i="9" s="1"/>
  <c r="P18" i="9" s="1"/>
  <c r="C7" i="13"/>
  <c r="C20" i="15"/>
  <c r="C40" i="15"/>
  <c r="C54" i="15"/>
  <c r="C22" i="15"/>
  <c r="C42" i="15"/>
  <c r="C6" i="15"/>
  <c r="C18" i="15"/>
  <c r="C60" i="15"/>
  <c r="C55" i="15"/>
  <c r="C44" i="15"/>
  <c r="C28" i="15"/>
  <c r="C12" i="15"/>
  <c r="I23" i="16"/>
  <c r="C43" i="15"/>
  <c r="C21" i="15"/>
  <c r="C61" i="15"/>
  <c r="C41" i="15"/>
  <c r="C17" i="15"/>
  <c r="C39" i="15"/>
  <c r="C52" i="15"/>
  <c r="C29" i="15"/>
  <c r="C32" i="15"/>
  <c r="C8" i="15"/>
  <c r="C10" i="15"/>
  <c r="C31" i="15"/>
  <c r="C9" i="15"/>
  <c r="C66" i="15"/>
  <c r="C51" i="15"/>
  <c r="C11" i="15"/>
  <c r="C50" i="15"/>
  <c r="C34" i="15"/>
  <c r="C65" i="15"/>
  <c r="C19" i="15"/>
  <c r="C53" i="15"/>
  <c r="C62" i="15"/>
  <c r="C63" i="15"/>
  <c r="I22" i="16"/>
  <c r="C45" i="15"/>
  <c r="C23" i="15"/>
  <c r="C7" i="15"/>
  <c r="I21" i="16"/>
  <c r="C30" i="15"/>
  <c r="C64" i="15"/>
  <c r="C33" i="15"/>
  <c r="C11" i="13" l="1"/>
  <c r="P20" i="9"/>
  <c r="P19" i="9"/>
  <c r="Q6" i="9"/>
  <c r="AU15" i="9"/>
  <c r="H18" i="12" l="1"/>
  <c r="AV13" i="9"/>
  <c r="P22" i="9"/>
  <c r="P21" i="9"/>
  <c r="C5" i="14"/>
  <c r="C12" i="13"/>
  <c r="Q7" i="9"/>
  <c r="Q9" i="9" s="1"/>
  <c r="Q18" i="9" s="1"/>
  <c r="Q10" i="9"/>
  <c r="C8" i="14" l="1"/>
  <c r="C11" i="14" s="1"/>
  <c r="AV14" i="9"/>
  <c r="AV16" i="9" s="1"/>
  <c r="AW12" i="9" s="1"/>
  <c r="Q20" i="9"/>
  <c r="Q19" i="9"/>
  <c r="R6" i="9"/>
  <c r="C9" i="14" l="1"/>
  <c r="C12" i="14" s="1"/>
  <c r="Q22" i="9"/>
  <c r="Q21" i="9"/>
  <c r="AV15" i="9"/>
  <c r="R10" i="9"/>
  <c r="R7" i="9"/>
  <c r="R9" i="9" s="1"/>
  <c r="R18" i="9" s="1"/>
  <c r="C10" i="14" l="1"/>
  <c r="D6" i="14" s="1"/>
  <c r="AW13" i="9"/>
  <c r="R20" i="9"/>
  <c r="R19" i="9"/>
  <c r="S6" i="9"/>
  <c r="C13" i="14" l="1"/>
  <c r="C14" i="14"/>
  <c r="C16" i="14" s="1"/>
  <c r="S7" i="9"/>
  <c r="S9" i="9" s="1"/>
  <c r="S18" i="9" s="1"/>
  <c r="S10" i="9"/>
  <c r="R22" i="9"/>
  <c r="R21" i="9"/>
  <c r="AW14" i="9"/>
  <c r="AW16" i="9" s="1"/>
  <c r="AX12" i="9" s="1"/>
  <c r="AW15" i="9" l="1"/>
  <c r="C17" i="14"/>
  <c r="C19" i="14"/>
  <c r="S19" i="9"/>
  <c r="T6" i="9"/>
  <c r="S20" i="9"/>
  <c r="C20" i="14" l="1"/>
  <c r="T10" i="9"/>
  <c r="T7" i="9"/>
  <c r="T9" i="9" s="1"/>
  <c r="T18" i="9" s="1"/>
  <c r="S22" i="9"/>
  <c r="S21" i="9"/>
  <c r="AX13" i="9"/>
  <c r="AX14" i="9" l="1"/>
  <c r="AX16" i="9" s="1"/>
  <c r="AY12" i="9" s="1"/>
  <c r="T19" i="9"/>
  <c r="U6" i="9"/>
  <c r="T20" i="9"/>
  <c r="U7" i="9" l="1"/>
  <c r="U9" i="9" s="1"/>
  <c r="U18" i="9" s="1"/>
  <c r="U20" i="9" s="1"/>
  <c r="U10" i="9"/>
  <c r="T22" i="9"/>
  <c r="T21" i="9"/>
  <c r="AX15" i="9"/>
  <c r="U19" i="9" l="1"/>
  <c r="V6" i="9"/>
  <c r="AY13" i="9"/>
  <c r="V10" i="9" l="1"/>
  <c r="V7" i="9"/>
  <c r="V9" i="9" s="1"/>
  <c r="V18" i="9" s="1"/>
  <c r="V20" i="9" s="1"/>
  <c r="U22" i="9"/>
  <c r="U21" i="9"/>
  <c r="AY14" i="9"/>
  <c r="AY16" i="9" s="1"/>
  <c r="AZ12" i="9" s="1"/>
  <c r="AY15" i="9" l="1"/>
  <c r="V19" i="9"/>
  <c r="W6" i="9"/>
  <c r="V22" i="9" l="1"/>
  <c r="V21" i="9"/>
  <c r="W10" i="9"/>
  <c r="W7" i="9"/>
  <c r="W9" i="9" s="1"/>
  <c r="W18" i="9" s="1"/>
  <c r="W20" i="9" s="1"/>
  <c r="AZ13" i="9"/>
  <c r="AZ14" i="9" l="1"/>
  <c r="AZ16" i="9" s="1"/>
  <c r="BA12" i="9" s="1"/>
  <c r="W19" i="9"/>
  <c r="X6" i="9"/>
  <c r="X10" i="9" l="1"/>
  <c r="X7" i="9"/>
  <c r="X9" i="9" s="1"/>
  <c r="X18" i="9" s="1"/>
  <c r="X20" i="9" s="1"/>
  <c r="W22" i="9"/>
  <c r="W21" i="9"/>
  <c r="AZ15" i="9"/>
  <c r="BA13" i="9" l="1"/>
  <c r="X19" i="9"/>
  <c r="Y6" i="9"/>
  <c r="Y7" i="9" l="1"/>
  <c r="Y9" i="9" s="1"/>
  <c r="Y18" i="9" s="1"/>
  <c r="Y20" i="9" s="1"/>
  <c r="Y10" i="9"/>
  <c r="X22" i="9"/>
  <c r="X21" i="9"/>
  <c r="BA14" i="9"/>
  <c r="BA16" i="9" s="1"/>
  <c r="BB12" i="9" s="1"/>
  <c r="BA15" i="9" l="1"/>
  <c r="Z6" i="9"/>
  <c r="Y19" i="9"/>
  <c r="Z10" i="9" l="1"/>
  <c r="Z7" i="9"/>
  <c r="Z9" i="9" s="1"/>
  <c r="Z18" i="9" s="1"/>
  <c r="Z20" i="9" s="1"/>
  <c r="BB13" i="9"/>
  <c r="Y22" i="9"/>
  <c r="Y21" i="9"/>
  <c r="BB14" i="9" l="1"/>
  <c r="BB16" i="9" s="1"/>
  <c r="BC12" i="9" s="1"/>
  <c r="Z19" i="9"/>
  <c r="AA6" i="9"/>
  <c r="AA10" i="9" l="1"/>
  <c r="AA7" i="9"/>
  <c r="AA9" i="9" s="1"/>
  <c r="AA18" i="9" s="1"/>
  <c r="Z22" i="9"/>
  <c r="Z21" i="9"/>
  <c r="BB15" i="9"/>
  <c r="AA20" i="9" l="1"/>
  <c r="D6" i="13"/>
  <c r="BC13" i="9"/>
  <c r="AA19" i="9"/>
  <c r="AB6" i="9"/>
  <c r="BC14" i="9" l="1"/>
  <c r="BC16" i="9" s="1"/>
  <c r="BD12" i="9" s="1"/>
  <c r="AB7" i="9"/>
  <c r="D23" i="15"/>
  <c r="D65" i="15"/>
  <c r="D66" i="15"/>
  <c r="D63" i="15"/>
  <c r="D41" i="15"/>
  <c r="D19" i="15"/>
  <c r="D42" i="15"/>
  <c r="D33" i="15"/>
  <c r="D31" i="15"/>
  <c r="D62" i="15"/>
  <c r="D7" i="13"/>
  <c r="D64" i="15"/>
  <c r="D61" i="15"/>
  <c r="D45" i="15"/>
  <c r="D20" i="15"/>
  <c r="D43" i="15"/>
  <c r="D17" i="15"/>
  <c r="D32" i="15"/>
  <c r="D28" i="15"/>
  <c r="D40" i="15"/>
  <c r="D22" i="15"/>
  <c r="D39" i="15"/>
  <c r="D18" i="15"/>
  <c r="D44" i="15"/>
  <c r="D30" i="15"/>
  <c r="D21" i="15"/>
  <c r="D60" i="15"/>
  <c r="D34" i="15"/>
  <c r="D29" i="15"/>
  <c r="D9" i="15"/>
  <c r="D52" i="15"/>
  <c r="D55" i="15"/>
  <c r="D11" i="15"/>
  <c r="J21" i="16"/>
  <c r="D54" i="15"/>
  <c r="J23" i="16"/>
  <c r="D8" i="15"/>
  <c r="D12" i="15"/>
  <c r="D53" i="15"/>
  <c r="D50" i="15"/>
  <c r="D7" i="15"/>
  <c r="J22" i="16"/>
  <c r="D10" i="15"/>
  <c r="D6" i="15"/>
  <c r="D51" i="15"/>
  <c r="AA22" i="9"/>
  <c r="F19" i="12"/>
  <c r="G19" i="12" s="1"/>
  <c r="D44" i="1"/>
  <c r="AA21" i="9"/>
  <c r="D25" i="13" l="1"/>
  <c r="D27" i="13"/>
  <c r="D29" i="13"/>
  <c r="D31" i="13"/>
  <c r="D33" i="13"/>
  <c r="D28" i="13"/>
  <c r="D30" i="13"/>
  <c r="D32" i="13"/>
  <c r="D11" i="13"/>
  <c r="AB8" i="9"/>
  <c r="AB10" i="9" s="1"/>
  <c r="BC15" i="9"/>
  <c r="BD13" i="9" l="1"/>
  <c r="AB9" i="9"/>
  <c r="AB18" i="9" s="1"/>
  <c r="D5" i="14"/>
  <c r="D8" i="14" s="1"/>
  <c r="D12" i="13"/>
  <c r="H19" i="12"/>
  <c r="O25" i="13"/>
  <c r="J19" i="12" s="1"/>
  <c r="P25" i="13"/>
  <c r="K19" i="12" s="1"/>
  <c r="N25" i="13"/>
  <c r="I19" i="12" s="1"/>
  <c r="D46" i="1" s="1"/>
  <c r="AB19" i="9"/>
  <c r="AC6" i="9"/>
  <c r="AB22" i="9" l="1"/>
  <c r="AB21" i="9"/>
  <c r="AC7" i="9"/>
  <c r="AC8" i="9" s="1"/>
  <c r="BD14" i="9"/>
  <c r="BD16" i="9" s="1"/>
  <c r="BE12" i="9" s="1"/>
  <c r="AB20" i="9"/>
  <c r="D9" i="14" l="1"/>
  <c r="D10" i="14" s="1"/>
  <c r="E6" i="14" s="1"/>
  <c r="BD15" i="9"/>
  <c r="AC10" i="9"/>
  <c r="D11" i="14"/>
  <c r="D7" i="14"/>
  <c r="BE13" i="9" l="1"/>
  <c r="AC19" i="9"/>
  <c r="AD6" i="9"/>
  <c r="AC9" i="9"/>
  <c r="AC18" i="9" s="1"/>
  <c r="D12" i="14"/>
  <c r="D13" i="14" s="1"/>
  <c r="AD7" i="9" l="1"/>
  <c r="AD8" i="9" s="1"/>
  <c r="AC22" i="9"/>
  <c r="AC21" i="9"/>
  <c r="AC20" i="9"/>
  <c r="D14" i="14"/>
  <c r="BE14" i="9"/>
  <c r="BE16" i="9" s="1"/>
  <c r="BF12" i="9" s="1"/>
  <c r="BE15" i="9" l="1"/>
  <c r="AD10" i="9"/>
  <c r="D17" i="14"/>
  <c r="D16" i="14"/>
  <c r="AD9" i="9" l="1"/>
  <c r="AD18" i="9" s="1"/>
  <c r="D19" i="14"/>
  <c r="D20" i="14"/>
  <c r="AD19" i="9"/>
  <c r="AE6" i="9"/>
  <c r="BF13" i="9"/>
  <c r="BF14" i="9" l="1"/>
  <c r="BF16" i="9" s="1"/>
  <c r="BG12" i="9" s="1"/>
  <c r="AE7" i="9"/>
  <c r="AE8" i="9" s="1"/>
  <c r="AD22" i="9"/>
  <c r="AD21" i="9"/>
  <c r="AD20" i="9"/>
  <c r="AE10" i="9" l="1"/>
  <c r="BF15" i="9"/>
  <c r="BG13" i="9" l="1"/>
  <c r="AE19" i="9"/>
  <c r="AF6" i="9"/>
  <c r="AE9" i="9"/>
  <c r="AE18" i="9" s="1"/>
  <c r="BG14" i="9" l="1"/>
  <c r="BG16" i="9" s="1"/>
  <c r="BH12" i="9" s="1"/>
  <c r="AE20" i="9"/>
  <c r="AF7" i="9"/>
  <c r="AF8" i="9" s="1"/>
  <c r="AE22" i="9"/>
  <c r="AE21" i="9"/>
  <c r="AF10" i="9" l="1"/>
  <c r="BG15" i="9"/>
  <c r="AF19" i="9" l="1"/>
  <c r="AG6" i="9"/>
  <c r="AF9" i="9"/>
  <c r="AF18" i="9" s="1"/>
  <c r="BH13" i="9"/>
  <c r="BH14" i="9" l="1"/>
  <c r="BH16" i="9" s="1"/>
  <c r="BI12" i="9" s="1"/>
  <c r="AF20" i="9"/>
  <c r="AG7" i="9"/>
  <c r="AG8" i="9" s="1"/>
  <c r="AF22" i="9"/>
  <c r="AF21" i="9"/>
  <c r="AG10" i="9" l="1"/>
  <c r="BH15" i="9"/>
  <c r="AG19" i="9" l="1"/>
  <c r="AH6" i="9"/>
  <c r="AG9" i="9"/>
  <c r="AG18" i="9" s="1"/>
  <c r="AG20" i="9" s="1"/>
  <c r="BI13" i="9"/>
  <c r="BI14" i="9" l="1"/>
  <c r="BI16" i="9" s="1"/>
  <c r="BJ12" i="9" s="1"/>
  <c r="AH7" i="9"/>
  <c r="AH8" i="9" s="1"/>
  <c r="AG22" i="9"/>
  <c r="AG21" i="9"/>
  <c r="AH10" i="9" l="1"/>
  <c r="BI15" i="9"/>
  <c r="BJ13" i="9" l="1"/>
  <c r="AH19" i="9"/>
  <c r="AI6" i="9"/>
  <c r="AH9" i="9"/>
  <c r="AH18" i="9" s="1"/>
  <c r="AH20" i="9" s="1"/>
  <c r="BJ14" i="9" l="1"/>
  <c r="BJ16" i="9" s="1"/>
  <c r="BK12" i="9" s="1"/>
  <c r="AI7" i="9"/>
  <c r="AI8" i="9" s="1"/>
  <c r="AH22" i="9"/>
  <c r="AH21" i="9"/>
  <c r="AI10" i="9" l="1"/>
  <c r="BJ15" i="9"/>
  <c r="BK13" i="9" l="1"/>
  <c r="AI19" i="9"/>
  <c r="AJ6" i="9"/>
  <c r="AI9" i="9"/>
  <c r="AI18" i="9" s="1"/>
  <c r="AI20" i="9" s="1"/>
  <c r="BK14" i="9" l="1"/>
  <c r="BK16" i="9" s="1"/>
  <c r="BL12" i="9" s="1"/>
  <c r="AJ7" i="9"/>
  <c r="AJ8" i="9" s="1"/>
  <c r="AI22" i="9"/>
  <c r="AI21" i="9"/>
  <c r="AJ10" i="9" l="1"/>
  <c r="BK15" i="9"/>
  <c r="BL13" i="9" l="1"/>
  <c r="AJ19" i="9"/>
  <c r="AK6" i="9"/>
  <c r="AJ9" i="9"/>
  <c r="AJ18" i="9" s="1"/>
  <c r="AJ20" i="9" s="1"/>
  <c r="AK7" i="9" l="1"/>
  <c r="AK8" i="9" s="1"/>
  <c r="AJ22" i="9"/>
  <c r="AJ21" i="9"/>
  <c r="BL14" i="9"/>
  <c r="BL16" i="9" s="1"/>
  <c r="BM12" i="9" s="1"/>
  <c r="BL15" i="9" l="1"/>
  <c r="AK10" i="9"/>
  <c r="AL6" i="9" s="1"/>
  <c r="AK19" i="9" l="1"/>
  <c r="AK9" i="9"/>
  <c r="AK18" i="9" s="1"/>
  <c r="AK20" i="9" s="1"/>
  <c r="BM13" i="9"/>
  <c r="AK22" i="9" l="1"/>
  <c r="AK21" i="9"/>
  <c r="BM14" i="9"/>
  <c r="BM16" i="9" s="1"/>
  <c r="BN12" i="9" s="1"/>
  <c r="AL7" i="9"/>
  <c r="AL8" i="9" s="1"/>
  <c r="BM15" i="9" l="1"/>
  <c r="AL9" i="9"/>
  <c r="AL18" i="9" s="1"/>
  <c r="AL20" i="9" l="1"/>
  <c r="AL10" i="9"/>
  <c r="AM6" i="9" s="1"/>
  <c r="BN13" i="9"/>
  <c r="B14" i="10" l="1"/>
  <c r="AL19" i="9"/>
  <c r="BN14" i="9"/>
  <c r="BN16" i="9" s="1"/>
  <c r="BO12" i="9" s="1"/>
  <c r="E8" i="13" l="1"/>
  <c r="E31" i="21"/>
  <c r="E34" i="21"/>
  <c r="E30" i="21"/>
  <c r="E28" i="21"/>
  <c r="E27" i="21"/>
  <c r="E8" i="21"/>
  <c r="E11" i="21" s="1"/>
  <c r="E31" i="20"/>
  <c r="E33" i="21"/>
  <c r="E29" i="21"/>
  <c r="E27" i="20"/>
  <c r="E8" i="20"/>
  <c r="E11" i="20" s="1"/>
  <c r="E32" i="21"/>
  <c r="E34" i="20"/>
  <c r="E32" i="20"/>
  <c r="E29" i="20"/>
  <c r="E28" i="20"/>
  <c r="E33" i="20"/>
  <c r="E30" i="20"/>
  <c r="AM7" i="9"/>
  <c r="AM8" i="9" s="1"/>
  <c r="BN15" i="9"/>
  <c r="AL22" i="9"/>
  <c r="AL21" i="9"/>
  <c r="B13" i="18"/>
  <c r="C13" i="18"/>
  <c r="B15" i="10"/>
  <c r="B16" i="1"/>
  <c r="O29" i="20" l="1"/>
  <c r="P29" i="20"/>
  <c r="N29" i="20"/>
  <c r="B16" i="20"/>
  <c r="B18" i="20"/>
  <c r="B17" i="20"/>
  <c r="E12" i="20"/>
  <c r="F12" i="20" s="1"/>
  <c r="G12" i="20" s="1"/>
  <c r="H12" i="20" s="1"/>
  <c r="I12" i="20" s="1"/>
  <c r="J12" i="20" s="1"/>
  <c r="K12" i="20" s="1"/>
  <c r="L12" i="20" s="1"/>
  <c r="P31" i="20"/>
  <c r="N31" i="20"/>
  <c r="O31" i="20"/>
  <c r="N30" i="21"/>
  <c r="O30" i="21"/>
  <c r="P30" i="21"/>
  <c r="N32" i="20"/>
  <c r="O32" i="20"/>
  <c r="P32" i="20"/>
  <c r="N33" i="20"/>
  <c r="O33" i="20"/>
  <c r="P33" i="20"/>
  <c r="P34" i="20"/>
  <c r="N34" i="20"/>
  <c r="O34" i="20"/>
  <c r="N29" i="21"/>
  <c r="P29" i="21"/>
  <c r="O29" i="21"/>
  <c r="N31" i="21"/>
  <c r="P31" i="21"/>
  <c r="O31" i="21"/>
  <c r="O30" i="20"/>
  <c r="P30" i="20"/>
  <c r="N30" i="20"/>
  <c r="N27" i="20"/>
  <c r="P27" i="20"/>
  <c r="O27" i="20"/>
  <c r="B17" i="21"/>
  <c r="B16" i="21"/>
  <c r="E12" i="21"/>
  <c r="F12" i="21" s="1"/>
  <c r="G12" i="21" s="1"/>
  <c r="H12" i="21" s="1"/>
  <c r="I12" i="21" s="1"/>
  <c r="J12" i="21" s="1"/>
  <c r="K12" i="21" s="1"/>
  <c r="L12" i="21" s="1"/>
  <c r="B18" i="21"/>
  <c r="N34" i="21"/>
  <c r="P34" i="21"/>
  <c r="O34" i="21"/>
  <c r="O28" i="20"/>
  <c r="N28" i="20"/>
  <c r="P28" i="20"/>
  <c r="O32" i="21"/>
  <c r="N32" i="21"/>
  <c r="P32" i="21"/>
  <c r="N33" i="21"/>
  <c r="O33" i="21"/>
  <c r="P33" i="21"/>
  <c r="O28" i="21"/>
  <c r="N28" i="21"/>
  <c r="P28" i="21"/>
  <c r="AM9" i="9"/>
  <c r="AM18" i="9" s="1"/>
  <c r="BO13" i="9"/>
  <c r="AM10" i="9" l="1"/>
  <c r="AM20" i="9"/>
  <c r="E6" i="13"/>
  <c r="BO14" i="9"/>
  <c r="BO16" i="9" s="1"/>
  <c r="BP12" i="9" s="1"/>
  <c r="E7" i="13" l="1"/>
  <c r="E17" i="15"/>
  <c r="E40" i="15"/>
  <c r="E18" i="15"/>
  <c r="E39" i="15"/>
  <c r="E42" i="15"/>
  <c r="E61" i="15"/>
  <c r="E29" i="15"/>
  <c r="K23" i="16"/>
  <c r="E44" i="15"/>
  <c r="E7" i="15"/>
  <c r="E31" i="15"/>
  <c r="E66" i="15"/>
  <c r="E52" i="15"/>
  <c r="E62" i="15"/>
  <c r="E45" i="15"/>
  <c r="E11" i="15"/>
  <c r="E51" i="15"/>
  <c r="K21" i="16"/>
  <c r="E28" i="15"/>
  <c r="E54" i="15"/>
  <c r="E8" i="15"/>
  <c r="E32" i="15"/>
  <c r="E23" i="15"/>
  <c r="E22" i="15"/>
  <c r="E63" i="15"/>
  <c r="E6" i="15"/>
  <c r="E60" i="15"/>
  <c r="E41" i="15"/>
  <c r="K22" i="16"/>
  <c r="E21" i="15"/>
  <c r="E33" i="15"/>
  <c r="E34" i="15"/>
  <c r="E65" i="15"/>
  <c r="E30" i="15"/>
  <c r="E55" i="15"/>
  <c r="E53" i="15"/>
  <c r="E50" i="15"/>
  <c r="E19" i="15"/>
  <c r="E43" i="15"/>
  <c r="E10" i="15"/>
  <c r="E64" i="15"/>
  <c r="E12" i="15"/>
  <c r="E9" i="15"/>
  <c r="E20" i="15"/>
  <c r="AN6" i="9"/>
  <c r="AM19" i="9"/>
  <c r="BO15" i="9"/>
  <c r="E32" i="13" l="1"/>
  <c r="E27" i="13"/>
  <c r="E29" i="13"/>
  <c r="E31" i="13"/>
  <c r="E33" i="13"/>
  <c r="E30" i="13"/>
  <c r="E28" i="13"/>
  <c r="E11" i="13"/>
  <c r="AM22" i="9"/>
  <c r="E44" i="1"/>
  <c r="AM21" i="9"/>
  <c r="F20" i="12"/>
  <c r="G20" i="12" s="1"/>
  <c r="E26" i="13" s="1"/>
  <c r="AN7" i="9"/>
  <c r="AN8" i="9" s="1"/>
  <c r="BP13" i="9"/>
  <c r="E5" i="14" l="1"/>
  <c r="E12" i="13"/>
  <c r="P26" i="13"/>
  <c r="K20" i="12" s="1"/>
  <c r="H20" i="12"/>
  <c r="O26" i="13"/>
  <c r="J20" i="12" s="1"/>
  <c r="N26" i="13"/>
  <c r="I20" i="12" s="1"/>
  <c r="E46" i="1" s="1"/>
  <c r="BP14" i="9"/>
  <c r="BP16" i="9" s="1"/>
  <c r="BQ12" i="9" s="1"/>
  <c r="E8" i="14" l="1"/>
  <c r="E11" i="14" s="1"/>
  <c r="AN10" i="9"/>
  <c r="AN9" i="9"/>
  <c r="AN18" i="9" s="1"/>
  <c r="BP15" i="9"/>
  <c r="E9" i="14" l="1"/>
  <c r="AO6" i="9"/>
  <c r="AN19" i="9"/>
  <c r="AN20" i="9"/>
  <c r="E7" i="14"/>
  <c r="BQ13" i="9"/>
  <c r="E12" i="14" l="1"/>
  <c r="E13" i="14" s="1"/>
  <c r="E10" i="14"/>
  <c r="F6" i="14" s="1"/>
  <c r="AO7" i="9"/>
  <c r="AO8" i="9" s="1"/>
  <c r="AN22" i="9"/>
  <c r="AN21" i="9"/>
  <c r="BQ14" i="9"/>
  <c r="BQ16" i="9" s="1"/>
  <c r="BR12" i="9" s="1"/>
  <c r="E14" i="14" l="1"/>
  <c r="E16" i="14" s="1"/>
  <c r="E19" i="14" s="1"/>
  <c r="AO9" i="9"/>
  <c r="AO18" i="9" s="1"/>
  <c r="BQ15" i="9"/>
  <c r="E17" i="14" l="1"/>
  <c r="E20" i="14" s="1"/>
  <c r="AO20" i="9"/>
  <c r="AO10" i="9"/>
  <c r="BR13" i="9"/>
  <c r="AP6" i="9" l="1"/>
  <c r="AO19" i="9"/>
  <c r="BR14" i="9"/>
  <c r="BR16" i="9" s="1"/>
  <c r="BS12" i="9" s="1"/>
  <c r="AO21" i="9" l="1"/>
  <c r="AO22" i="9"/>
  <c r="AP7" i="9"/>
  <c r="AP8" i="9" s="1"/>
  <c r="BR15" i="9"/>
  <c r="AP10" i="9" l="1"/>
  <c r="BS13" i="9"/>
  <c r="AP9" i="9" l="1"/>
  <c r="AP18" i="9" s="1"/>
  <c r="AQ6" i="9"/>
  <c r="AP19" i="9"/>
  <c r="BS14" i="9"/>
  <c r="BS16" i="9" s="1"/>
  <c r="BT12" i="9" s="1"/>
  <c r="AP22" i="9" l="1"/>
  <c r="AP21" i="9"/>
  <c r="AQ7" i="9"/>
  <c r="AQ8" i="9" s="1"/>
  <c r="AP20" i="9"/>
  <c r="BS15" i="9"/>
  <c r="AQ10" i="9" l="1"/>
  <c r="BT13" i="9"/>
  <c r="AQ9" i="9" l="1"/>
  <c r="AQ18" i="9" s="1"/>
  <c r="AR6" i="9"/>
  <c r="AQ19" i="9"/>
  <c r="BT14" i="9"/>
  <c r="BT16" i="9" s="1"/>
  <c r="BU12" i="9" s="1"/>
  <c r="AQ21" i="9" l="1"/>
  <c r="AQ22" i="9"/>
  <c r="AR7" i="9"/>
  <c r="AR8" i="9" s="1"/>
  <c r="AQ20" i="9"/>
  <c r="BT15" i="9"/>
  <c r="AR10" i="9" l="1"/>
  <c r="BU13" i="9"/>
  <c r="AR9" i="9" l="1"/>
  <c r="AR18" i="9" s="1"/>
  <c r="AS6" i="9"/>
  <c r="AR19" i="9"/>
  <c r="BU14" i="9"/>
  <c r="BU16" i="9" s="1"/>
  <c r="BV12" i="9" s="1"/>
  <c r="AR22" i="9" l="1"/>
  <c r="AR21" i="9"/>
  <c r="AS7" i="9"/>
  <c r="AS8" i="9" s="1"/>
  <c r="AR20" i="9"/>
  <c r="BU15" i="9"/>
  <c r="AS10" i="9" l="1"/>
  <c r="BV13" i="9"/>
  <c r="AS9" i="9" l="1"/>
  <c r="AS18" i="9" s="1"/>
  <c r="AS20" i="9" s="1"/>
  <c r="AT6" i="9"/>
  <c r="AS19" i="9"/>
  <c r="BV14" i="9"/>
  <c r="BV16" i="9" s="1"/>
  <c r="BW12" i="9" s="1"/>
  <c r="AS22" i="9" l="1"/>
  <c r="AS21" i="9"/>
  <c r="AT7" i="9"/>
  <c r="AT8" i="9" s="1"/>
  <c r="BV15" i="9"/>
  <c r="AT10" i="9" l="1"/>
  <c r="BW13" i="9"/>
  <c r="AU6" i="9" l="1"/>
  <c r="AT19" i="9"/>
  <c r="AT9" i="9"/>
  <c r="AT18" i="9" s="1"/>
  <c r="AT20" i="9" s="1"/>
  <c r="BW14" i="9"/>
  <c r="BW16" i="9" s="1"/>
  <c r="BX12" i="9" s="1"/>
  <c r="AT22" i="9" l="1"/>
  <c r="AT21" i="9"/>
  <c r="AU7" i="9"/>
  <c r="AU8" i="9" s="1"/>
  <c r="BW15" i="9"/>
  <c r="AU10" i="9" l="1"/>
  <c r="BX13" i="9"/>
  <c r="AU9" i="9" l="1"/>
  <c r="AU18" i="9" s="1"/>
  <c r="AU20" i="9" s="1"/>
  <c r="AV6" i="9"/>
  <c r="AU19" i="9"/>
  <c r="BX14" i="9"/>
  <c r="BX16" i="9" s="1"/>
  <c r="BY12" i="9" s="1"/>
  <c r="AU22" i="9" l="1"/>
  <c r="AU21" i="9"/>
  <c r="AV7" i="9"/>
  <c r="AV8" i="9" s="1"/>
  <c r="BX15" i="9"/>
  <c r="AV10" i="9" l="1"/>
  <c r="BY13" i="9"/>
  <c r="AV9" i="9" l="1"/>
  <c r="AV18" i="9" s="1"/>
  <c r="AV20" i="9" s="1"/>
  <c r="AW6" i="9"/>
  <c r="AV19" i="9"/>
  <c r="BY14" i="9"/>
  <c r="BY16" i="9" s="1"/>
  <c r="BZ12" i="9" s="1"/>
  <c r="AV22" i="9" l="1"/>
  <c r="AV21" i="9"/>
  <c r="AW7" i="9"/>
  <c r="AW8" i="9" s="1"/>
  <c r="BY15" i="9"/>
  <c r="AW10" i="9" l="1"/>
  <c r="BZ13" i="9"/>
  <c r="AW9" i="9" l="1"/>
  <c r="AW18" i="9" s="1"/>
  <c r="AW20" i="9" s="1"/>
  <c r="AX6" i="9"/>
  <c r="AW19" i="9"/>
  <c r="BZ14" i="9"/>
  <c r="BZ16" i="9" s="1"/>
  <c r="CA12" i="9" s="1"/>
  <c r="AW22" i="9" l="1"/>
  <c r="AW21" i="9"/>
  <c r="AX7" i="9"/>
  <c r="AX8" i="9" s="1"/>
  <c r="BZ15" i="9"/>
  <c r="AX10" i="9" l="1"/>
  <c r="CA13" i="9"/>
  <c r="AX9" i="9" l="1"/>
  <c r="AX18" i="9" s="1"/>
  <c r="AX20" i="9" s="1"/>
  <c r="AY6" i="9"/>
  <c r="AX19" i="9"/>
  <c r="CA14" i="9"/>
  <c r="CA16" i="9" s="1"/>
  <c r="CB12" i="9" s="1"/>
  <c r="AX22" i="9" l="1"/>
  <c r="AX21" i="9"/>
  <c r="AY7" i="9"/>
  <c r="AY8" i="9" s="1"/>
  <c r="CA15" i="9"/>
  <c r="AY10" i="9" l="1"/>
  <c r="CB13" i="9"/>
  <c r="AY9" i="9" l="1"/>
  <c r="AY18" i="9" s="1"/>
  <c r="AY20" i="9" s="1"/>
  <c r="AZ6" i="9"/>
  <c r="AY19" i="9"/>
  <c r="CB14" i="9"/>
  <c r="CB16" i="9" s="1"/>
  <c r="CC12" i="9" s="1"/>
  <c r="F6" i="13" l="1"/>
  <c r="F41" i="15" s="1"/>
  <c r="AZ7" i="9"/>
  <c r="AZ8" i="9" s="1"/>
  <c r="F21" i="12"/>
  <c r="G21" i="12" s="1"/>
  <c r="AY21" i="9"/>
  <c r="F44" i="1"/>
  <c r="AY22" i="9"/>
  <c r="CB15" i="9"/>
  <c r="F42" i="15" l="1"/>
  <c r="F64" i="15"/>
  <c r="F7" i="13"/>
  <c r="F22" i="15"/>
  <c r="F61" i="15"/>
  <c r="L23" i="16"/>
  <c r="F44" i="15"/>
  <c r="F8" i="15"/>
  <c r="F21" i="15"/>
  <c r="F39" i="15"/>
  <c r="F9" i="15"/>
  <c r="F10" i="15"/>
  <c r="F50" i="15"/>
  <c r="F34" i="15"/>
  <c r="F28" i="15"/>
  <c r="F52" i="15"/>
  <c r="F65" i="15"/>
  <c r="F40" i="15"/>
  <c r="F66" i="15"/>
  <c r="F30" i="15"/>
  <c r="F55" i="15"/>
  <c r="L22" i="16"/>
  <c r="F43" i="15"/>
  <c r="F54" i="15"/>
  <c r="F63" i="15"/>
  <c r="F20" i="15"/>
  <c r="L21" i="16"/>
  <c r="F60" i="15"/>
  <c r="F18" i="15"/>
  <c r="F29" i="15"/>
  <c r="F32" i="15"/>
  <c r="F19" i="15"/>
  <c r="F45" i="15"/>
  <c r="F7" i="15"/>
  <c r="F31" i="15"/>
  <c r="F53" i="15"/>
  <c r="F51" i="15"/>
  <c r="F17" i="15"/>
  <c r="F33" i="15"/>
  <c r="F12" i="15"/>
  <c r="F11" i="15"/>
  <c r="F23" i="15"/>
  <c r="F62" i="15"/>
  <c r="F6" i="15"/>
  <c r="AZ10" i="9"/>
  <c r="CC13" i="9"/>
  <c r="F28" i="13" l="1"/>
  <c r="F30" i="13"/>
  <c r="F32" i="13"/>
  <c r="F11" i="13"/>
  <c r="F5" i="14" s="1"/>
  <c r="F27" i="13"/>
  <c r="F29" i="13"/>
  <c r="F31" i="13"/>
  <c r="F33" i="13"/>
  <c r="N27" i="13"/>
  <c r="I21" i="12" s="1"/>
  <c r="F46" i="1" s="1"/>
  <c r="AZ9" i="9"/>
  <c r="AZ18" i="9" s="1"/>
  <c r="AZ20" i="9" s="1"/>
  <c r="BA6" i="9"/>
  <c r="AZ19" i="9"/>
  <c r="CC14" i="9"/>
  <c r="CC16" i="9" s="1"/>
  <c r="CD12" i="9" s="1"/>
  <c r="O27" i="13" l="1"/>
  <c r="J21" i="12" s="1"/>
  <c r="H21" i="12"/>
  <c r="P27" i="13"/>
  <c r="K21" i="12" s="1"/>
  <c r="F12" i="13"/>
  <c r="AZ21" i="9"/>
  <c r="AZ22" i="9"/>
  <c r="F8" i="14"/>
  <c r="F9" i="14" s="1"/>
  <c r="F10" i="14" s="1"/>
  <c r="G6" i="14" s="1"/>
  <c r="BA7" i="9"/>
  <c r="BA8" i="9" s="1"/>
  <c r="CC15" i="9"/>
  <c r="BA10" i="9" l="1"/>
  <c r="F11" i="14"/>
  <c r="F12" i="14" s="1"/>
  <c r="F13" i="14" s="1"/>
  <c r="F7" i="14"/>
  <c r="CD13" i="9"/>
  <c r="BA9" i="9" l="1"/>
  <c r="BA18" i="9" s="1"/>
  <c r="BA20" i="9" s="1"/>
  <c r="BB6" i="9"/>
  <c r="BA19" i="9"/>
  <c r="F14" i="14"/>
  <c r="CD14" i="9"/>
  <c r="CD16" i="9" s="1"/>
  <c r="CE12" i="9" s="1"/>
  <c r="BA21" i="9" l="1"/>
  <c r="BA22" i="9"/>
  <c r="BB7" i="9"/>
  <c r="BB8" i="9" s="1"/>
  <c r="F16" i="14"/>
  <c r="F17" i="14"/>
  <c r="CD15" i="9"/>
  <c r="F20" i="14" l="1"/>
  <c r="F19" i="14"/>
  <c r="BB10" i="9"/>
  <c r="CE13" i="9"/>
  <c r="BB9" i="9" l="1"/>
  <c r="BB18" i="9" s="1"/>
  <c r="BB20" i="9" s="1"/>
  <c r="BC6" i="9"/>
  <c r="BB19" i="9"/>
  <c r="CE14" i="9"/>
  <c r="CE16" i="9" s="1"/>
  <c r="CF12" i="9" s="1"/>
  <c r="BC7" i="9" l="1"/>
  <c r="BC8" i="9" s="1"/>
  <c r="BB22" i="9"/>
  <c r="BB21" i="9"/>
  <c r="CE15" i="9"/>
  <c r="BC10" i="9" l="1"/>
  <c r="CF13" i="9"/>
  <c r="BC9" i="9" l="1"/>
  <c r="BC18" i="9" s="1"/>
  <c r="BD6" i="9"/>
  <c r="BC19" i="9"/>
  <c r="CF14" i="9"/>
  <c r="CF16" i="9" s="1"/>
  <c r="CG12" i="9" s="1"/>
  <c r="BC21" i="9" l="1"/>
  <c r="BC22" i="9"/>
  <c r="BD7" i="9"/>
  <c r="BD8" i="9" s="1"/>
  <c r="BC20" i="9"/>
  <c r="CF15" i="9"/>
  <c r="BD10" i="9" l="1"/>
  <c r="CG13" i="9"/>
  <c r="BE6" i="9" l="1"/>
  <c r="BD19" i="9"/>
  <c r="BD9" i="9"/>
  <c r="BD18" i="9" s="1"/>
  <c r="CG14" i="9"/>
  <c r="CG16" i="9" s="1"/>
  <c r="CH12" i="9" s="1"/>
  <c r="BD20" i="9" l="1"/>
  <c r="BD22" i="9"/>
  <c r="BD21" i="9"/>
  <c r="BE7" i="9"/>
  <c r="BE8" i="9" s="1"/>
  <c r="CG15" i="9"/>
  <c r="BE10" i="9" l="1"/>
  <c r="CH13" i="9"/>
  <c r="BE9" i="9" l="1"/>
  <c r="BE18" i="9" s="1"/>
  <c r="BE20" i="9" s="1"/>
  <c r="BF6" i="9"/>
  <c r="BE19" i="9"/>
  <c r="CH14" i="9"/>
  <c r="CH16" i="9" s="1"/>
  <c r="CI12" i="9" s="1"/>
  <c r="BF7" i="9" l="1"/>
  <c r="BF8" i="9" s="1"/>
  <c r="BE22" i="9"/>
  <c r="BE21" i="9"/>
  <c r="CH15" i="9"/>
  <c r="BF10" i="9" l="1"/>
  <c r="CI13" i="9"/>
  <c r="BF9" i="9" l="1"/>
  <c r="BF18" i="9" s="1"/>
  <c r="BF20" i="9" s="1"/>
  <c r="BG6" i="9"/>
  <c r="BF19" i="9"/>
  <c r="CI14" i="9"/>
  <c r="CI16" i="9" s="1"/>
  <c r="CJ12" i="9" s="1"/>
  <c r="BF21" i="9" l="1"/>
  <c r="BF22" i="9"/>
  <c r="BG7" i="9"/>
  <c r="BG8" i="9" s="1"/>
  <c r="CI15" i="9"/>
  <c r="BG10" i="9" l="1"/>
  <c r="CJ13" i="9"/>
  <c r="BG9" i="9" l="1"/>
  <c r="BG18" i="9" s="1"/>
  <c r="BG20" i="9" s="1"/>
  <c r="BH6" i="9"/>
  <c r="BG19" i="9"/>
  <c r="CJ14" i="9"/>
  <c r="CJ16" i="9" s="1"/>
  <c r="CK12" i="9" s="1"/>
  <c r="BG22" i="9" l="1"/>
  <c r="BG21" i="9"/>
  <c r="BH7" i="9"/>
  <c r="BH8" i="9" s="1"/>
  <c r="CJ15" i="9"/>
  <c r="BH10" i="9" l="1"/>
  <c r="CK13" i="9"/>
  <c r="BH9" i="9" l="1"/>
  <c r="BH18" i="9" s="1"/>
  <c r="BH20" i="9" s="1"/>
  <c r="BI6" i="9"/>
  <c r="BH19" i="9"/>
  <c r="CK14" i="9"/>
  <c r="CK16" i="9" s="1"/>
  <c r="CL12" i="9" s="1"/>
  <c r="BH22" i="9" l="1"/>
  <c r="BH21" i="9"/>
  <c r="BI7" i="9"/>
  <c r="BI8" i="9" s="1"/>
  <c r="CK15" i="9"/>
  <c r="BI10" i="9" l="1"/>
  <c r="CL13" i="9"/>
  <c r="BJ6" i="9" l="1"/>
  <c r="BI19" i="9"/>
  <c r="BI9" i="9"/>
  <c r="BI18" i="9" s="1"/>
  <c r="BI20" i="9" s="1"/>
  <c r="CL14" i="9"/>
  <c r="CL16" i="9" s="1"/>
  <c r="CM12" i="9" s="1"/>
  <c r="BI22" i="9" l="1"/>
  <c r="BI21" i="9"/>
  <c r="BJ7" i="9"/>
  <c r="BJ8" i="9" s="1"/>
  <c r="CL15" i="9"/>
  <c r="BJ10" i="9" l="1"/>
  <c r="CM13" i="9"/>
  <c r="BK6" i="9" l="1"/>
  <c r="BJ19" i="9"/>
  <c r="BJ9" i="9"/>
  <c r="BJ18" i="9" s="1"/>
  <c r="BJ20" i="9" s="1"/>
  <c r="CM14" i="9"/>
  <c r="CM16" i="9" s="1"/>
  <c r="CN12" i="9" s="1"/>
  <c r="BJ22" i="9" l="1"/>
  <c r="BJ21" i="9"/>
  <c r="BK7" i="9"/>
  <c r="BK8" i="9" s="1"/>
  <c r="CM15" i="9"/>
  <c r="BK10" i="9" l="1"/>
  <c r="CN13" i="9"/>
  <c r="BK9" i="9" l="1"/>
  <c r="BK18" i="9" s="1"/>
  <c r="BL6" i="9"/>
  <c r="BK19" i="9"/>
  <c r="CN14" i="9"/>
  <c r="CN16" i="9" s="1"/>
  <c r="CO12" i="9" s="1"/>
  <c r="B12" i="12" l="1"/>
  <c r="B13" i="12" s="1"/>
  <c r="F22" i="12"/>
  <c r="G22" i="12" s="1"/>
  <c r="BK22" i="9"/>
  <c r="G44" i="1"/>
  <c r="BK21" i="9"/>
  <c r="BL7" i="9"/>
  <c r="BL8" i="9" s="1"/>
  <c r="BK20" i="9"/>
  <c r="G6" i="13"/>
  <c r="CN15" i="9"/>
  <c r="BL10" i="9" l="1"/>
  <c r="G63" i="15"/>
  <c r="M63" i="15" s="1"/>
  <c r="G30" i="15"/>
  <c r="M30" i="15" s="1"/>
  <c r="G28" i="15"/>
  <c r="M28" i="15" s="1"/>
  <c r="G22" i="15"/>
  <c r="G23" i="15"/>
  <c r="G62" i="15"/>
  <c r="M62" i="15" s="1"/>
  <c r="G41" i="15"/>
  <c r="M41" i="15" s="1"/>
  <c r="M21" i="16"/>
  <c r="G55" i="15"/>
  <c r="M55" i="15" s="1"/>
  <c r="G54" i="15"/>
  <c r="M54" i="15" s="1"/>
  <c r="G7" i="15"/>
  <c r="G12" i="15"/>
  <c r="G17" i="15"/>
  <c r="G7" i="13"/>
  <c r="G43" i="15"/>
  <c r="M43" i="15" s="1"/>
  <c r="G45" i="15"/>
  <c r="M45" i="15" s="1"/>
  <c r="G53" i="15"/>
  <c r="M53" i="15" s="1"/>
  <c r="G31" i="15"/>
  <c r="M31" i="15" s="1"/>
  <c r="G60" i="15"/>
  <c r="M60" i="15" s="1"/>
  <c r="G44" i="15"/>
  <c r="M44" i="15" s="1"/>
  <c r="G19" i="15"/>
  <c r="G34" i="15"/>
  <c r="M34" i="15" s="1"/>
  <c r="G32" i="15"/>
  <c r="M32" i="15" s="1"/>
  <c r="G39" i="15"/>
  <c r="M39" i="15" s="1"/>
  <c r="G50" i="15"/>
  <c r="M50" i="15" s="1"/>
  <c r="M22" i="16"/>
  <c r="M23" i="16"/>
  <c r="G8" i="15"/>
  <c r="G64" i="15"/>
  <c r="M64" i="15" s="1"/>
  <c r="G42" i="15"/>
  <c r="M42" i="15" s="1"/>
  <c r="G40" i="15"/>
  <c r="M40" i="15" s="1"/>
  <c r="G65" i="15"/>
  <c r="M65" i="15" s="1"/>
  <c r="G18" i="15"/>
  <c r="G66" i="15"/>
  <c r="M66" i="15" s="1"/>
  <c r="G21" i="15"/>
  <c r="G51" i="15"/>
  <c r="M51" i="15" s="1"/>
  <c r="G52" i="15"/>
  <c r="M52" i="15" s="1"/>
  <c r="G11" i="15"/>
  <c r="G20" i="15"/>
  <c r="G61" i="15"/>
  <c r="M61" i="15" s="1"/>
  <c r="G29" i="15"/>
  <c r="M29" i="15" s="1"/>
  <c r="G33" i="15"/>
  <c r="M33" i="15" s="1"/>
  <c r="G6" i="15"/>
  <c r="G9" i="15"/>
  <c r="G10" i="15"/>
  <c r="C14" i="18"/>
  <c r="B14" i="18"/>
  <c r="B18" i="1"/>
  <c r="G9" i="13"/>
  <c r="CO13" i="9"/>
  <c r="G29" i="13" l="1"/>
  <c r="G28" i="13"/>
  <c r="G30" i="13"/>
  <c r="G32" i="13"/>
  <c r="G11" i="13"/>
  <c r="G31" i="13"/>
  <c r="G33" i="13"/>
  <c r="N17" i="15"/>
  <c r="M17" i="15"/>
  <c r="N9" i="15"/>
  <c r="M9" i="15"/>
  <c r="B17" i="18" s="1"/>
  <c r="M8" i="15"/>
  <c r="N8" i="15"/>
  <c r="N12" i="15"/>
  <c r="M12" i="15"/>
  <c r="B16" i="16"/>
  <c r="B15" i="16"/>
  <c r="M22" i="15"/>
  <c r="N22" i="15"/>
  <c r="N10" i="15"/>
  <c r="M10" i="15"/>
  <c r="M18" i="15"/>
  <c r="N18" i="15"/>
  <c r="M19" i="15"/>
  <c r="N19" i="15"/>
  <c r="M23" i="15"/>
  <c r="N23" i="15"/>
  <c r="M6" i="15"/>
  <c r="N6" i="15"/>
  <c r="N20" i="15"/>
  <c r="M20" i="15"/>
  <c r="M21" i="15"/>
  <c r="N21" i="15"/>
  <c r="D16" i="16"/>
  <c r="D15" i="16"/>
  <c r="N7" i="15"/>
  <c r="M7" i="15"/>
  <c r="BL9" i="9"/>
  <c r="BL18" i="9" s="1"/>
  <c r="M11" i="15"/>
  <c r="N11" i="15"/>
  <c r="C16" i="16"/>
  <c r="C15" i="16"/>
  <c r="BM6" i="9"/>
  <c r="BL19" i="9"/>
  <c r="CO14" i="9"/>
  <c r="CO16" i="9" s="1"/>
  <c r="CP12" i="9" s="1"/>
  <c r="B18" i="13" l="1"/>
  <c r="B24" i="1" s="1"/>
  <c r="B16" i="13"/>
  <c r="C18" i="18" s="1"/>
  <c r="BM7" i="9"/>
  <c r="BM8" i="9" s="1"/>
  <c r="B18" i="18"/>
  <c r="BL20" i="9"/>
  <c r="H22" i="12"/>
  <c r="O28" i="13"/>
  <c r="J22" i="12" s="1"/>
  <c r="P28" i="13"/>
  <c r="K22" i="12" s="1"/>
  <c r="N28" i="13"/>
  <c r="I22" i="12" s="1"/>
  <c r="G46" i="1" s="1"/>
  <c r="BL22" i="9"/>
  <c r="BL21" i="9"/>
  <c r="G5" i="14"/>
  <c r="B17" i="13"/>
  <c r="B22" i="1" s="1"/>
  <c r="G12" i="13"/>
  <c r="H12" i="13" s="1"/>
  <c r="I12" i="13" s="1"/>
  <c r="J12" i="13" s="1"/>
  <c r="K12" i="13" s="1"/>
  <c r="L12" i="13" s="1"/>
  <c r="CO15" i="9"/>
  <c r="G8" i="14" l="1"/>
  <c r="G9" i="14" s="1"/>
  <c r="G10" i="14" s="1"/>
  <c r="H6" i="14" s="1"/>
  <c r="BM10" i="9"/>
  <c r="C17" i="18"/>
  <c r="B21" i="1"/>
  <c r="E17" i="17"/>
  <c r="CP13" i="9"/>
  <c r="BM9" i="9" l="1"/>
  <c r="BM18" i="9" s="1"/>
  <c r="BN6" i="9"/>
  <c r="BM19" i="9"/>
  <c r="G11" i="14"/>
  <c r="G7" i="14"/>
  <c r="H8" i="14" s="1"/>
  <c r="CP14" i="9"/>
  <c r="CP16" i="9" s="1"/>
  <c r="CQ12" i="9" s="1"/>
  <c r="BM22" i="9" l="1"/>
  <c r="BM21" i="9"/>
  <c r="H11" i="14"/>
  <c r="G12" i="14"/>
  <c r="BN7" i="9"/>
  <c r="BN8" i="9" s="1"/>
  <c r="H7" i="14"/>
  <c r="H9" i="14"/>
  <c r="H10" i="14" s="1"/>
  <c r="I6" i="14" s="1"/>
  <c r="BM20" i="9"/>
  <c r="CP15" i="9"/>
  <c r="G13" i="14" l="1"/>
  <c r="H12" i="14" s="1"/>
  <c r="H13" i="14" s="1"/>
  <c r="G14" i="14"/>
  <c r="G16" i="14" s="1"/>
  <c r="I8" i="14"/>
  <c r="I7" i="14" s="1"/>
  <c r="BN10" i="9"/>
  <c r="CQ13" i="9"/>
  <c r="G17" i="14" l="1"/>
  <c r="G20" i="14" s="1"/>
  <c r="I11" i="14"/>
  <c r="BO6" i="9"/>
  <c r="BN19" i="9"/>
  <c r="BN9" i="9"/>
  <c r="BN18" i="9" s="1"/>
  <c r="G19" i="14"/>
  <c r="H14" i="14"/>
  <c r="I9" i="14"/>
  <c r="I10" i="14" s="1"/>
  <c r="J6" i="14" s="1"/>
  <c r="J8" i="14" s="1"/>
  <c r="CQ14" i="9"/>
  <c r="CQ16" i="9" s="1"/>
  <c r="CR12" i="9" s="1"/>
  <c r="J11" i="14" l="1"/>
  <c r="H16" i="14"/>
  <c r="H17" i="14"/>
  <c r="J7" i="14"/>
  <c r="I12" i="14"/>
  <c r="I13" i="14" s="1"/>
  <c r="BN20" i="9"/>
  <c r="BN22" i="9"/>
  <c r="BN21" i="9"/>
  <c r="J9" i="14"/>
  <c r="J10" i="14" s="1"/>
  <c r="K6" i="14" s="1"/>
  <c r="BO7" i="9"/>
  <c r="BO8" i="9" s="1"/>
  <c r="CQ15" i="9"/>
  <c r="I14" i="14" l="1"/>
  <c r="I16" i="14" s="1"/>
  <c r="I19" i="14" s="1"/>
  <c r="H20" i="14"/>
  <c r="H19" i="14"/>
  <c r="K8" i="14"/>
  <c r="K7" i="14" s="1"/>
  <c r="BO10" i="9"/>
  <c r="J12" i="14"/>
  <c r="J13" i="14" s="1"/>
  <c r="N14" i="14" s="1"/>
  <c r="CR13" i="9"/>
  <c r="I17" i="14" l="1"/>
  <c r="I20" i="14" s="1"/>
  <c r="BO9" i="9"/>
  <c r="BO18" i="9" s="1"/>
  <c r="K9" i="14"/>
  <c r="K10" i="14" s="1"/>
  <c r="L6" i="14" s="1"/>
  <c r="L8" i="14" s="1"/>
  <c r="K11" i="14"/>
  <c r="BP6" i="9"/>
  <c r="BO19" i="9"/>
  <c r="J14" i="14"/>
  <c r="J16" i="14" s="1"/>
  <c r="CR14" i="9"/>
  <c r="CR16" i="9" s="1"/>
  <c r="CS12" i="9" s="1"/>
  <c r="L11" i="14" l="1"/>
  <c r="N15" i="14" s="1"/>
  <c r="BO20" i="9"/>
  <c r="BO22" i="9"/>
  <c r="BO21" i="9"/>
  <c r="BP7" i="9"/>
  <c r="BP8" i="9" s="1"/>
  <c r="K12" i="14"/>
  <c r="J19" i="14"/>
  <c r="J17" i="14"/>
  <c r="L9" i="14"/>
  <c r="L10" i="14" s="1"/>
  <c r="L7" i="14"/>
  <c r="CR15" i="9"/>
  <c r="K13" i="14" l="1"/>
  <c r="L12" i="14" s="1"/>
  <c r="L13" i="14" s="1"/>
  <c r="K14" i="14"/>
  <c r="K16" i="14" s="1"/>
  <c r="J20" i="14"/>
  <c r="BP10" i="9"/>
  <c r="CS13" i="9"/>
  <c r="K17" i="14" l="1"/>
  <c r="K20" i="14" s="1"/>
  <c r="L14" i="14"/>
  <c r="L16" i="14" s="1"/>
  <c r="L19" i="14" s="1"/>
  <c r="K19" i="14"/>
  <c r="BP9" i="9"/>
  <c r="BP18" i="9" s="1"/>
  <c r="BQ6" i="9"/>
  <c r="BP19" i="9"/>
  <c r="CS14" i="9"/>
  <c r="CS16" i="9" s="1"/>
  <c r="CT12" i="9" s="1"/>
  <c r="L17" i="14" l="1"/>
  <c r="L20" i="14" s="1"/>
  <c r="C23" i="14" s="1"/>
  <c r="B23" i="14"/>
  <c r="B26" i="1" s="1"/>
  <c r="B25" i="14"/>
  <c r="B24" i="14"/>
  <c r="B27" i="1" s="1"/>
  <c r="BP20" i="9"/>
  <c r="BP22" i="9"/>
  <c r="BP21" i="9"/>
  <c r="BQ7" i="9"/>
  <c r="BQ8" i="9" s="1"/>
  <c r="CS15" i="9"/>
  <c r="C25" i="14" l="1"/>
  <c r="C24" i="14"/>
  <c r="BQ10" i="9"/>
  <c r="CT13" i="9"/>
  <c r="BQ9" i="9" l="1"/>
  <c r="BQ18" i="9" s="1"/>
  <c r="BQ20" i="9" s="1"/>
  <c r="BR6" i="9"/>
  <c r="BQ19" i="9"/>
  <c r="CT14" i="9"/>
  <c r="CT16" i="9" s="1"/>
  <c r="CU12" i="9" s="1"/>
  <c r="BQ22" i="9" l="1"/>
  <c r="BQ21" i="9"/>
  <c r="BR7" i="9"/>
  <c r="BR8" i="9" s="1"/>
  <c r="CT15" i="9"/>
  <c r="BR10" i="9" l="1"/>
  <c r="CU13" i="9"/>
  <c r="BR9" i="9" l="1"/>
  <c r="BR18" i="9" s="1"/>
  <c r="BR20" i="9" s="1"/>
  <c r="BS6" i="9"/>
  <c r="BR19" i="9"/>
  <c r="CU14" i="9"/>
  <c r="CU16" i="9" s="1"/>
  <c r="CV12" i="9" s="1"/>
  <c r="BS7" i="9" l="1"/>
  <c r="BS8" i="9" s="1"/>
  <c r="BR21" i="9"/>
  <c r="BR22" i="9"/>
  <c r="CU15" i="9"/>
  <c r="BS10" i="9" l="1"/>
  <c r="CV13" i="9"/>
  <c r="BS9" i="9" l="1"/>
  <c r="BS18" i="9" s="1"/>
  <c r="BS20" i="9" s="1"/>
  <c r="BT6" i="9"/>
  <c r="BS19" i="9"/>
  <c r="CV14" i="9"/>
  <c r="CV16" i="9" s="1"/>
  <c r="CW12" i="9" s="1"/>
  <c r="BS22" i="9" l="1"/>
  <c r="BS21" i="9"/>
  <c r="BT7" i="9"/>
  <c r="BT8" i="9" s="1"/>
  <c r="CV15" i="9"/>
  <c r="BT10" i="9" l="1"/>
  <c r="CW13" i="9"/>
  <c r="BT9" i="9" l="1"/>
  <c r="BT18" i="9" s="1"/>
  <c r="BT20" i="9" s="1"/>
  <c r="BU6" i="9"/>
  <c r="BT19" i="9"/>
  <c r="CW14" i="9"/>
  <c r="CW16" i="9" s="1"/>
  <c r="CX12" i="9" s="1"/>
  <c r="BT21" i="9" l="1"/>
  <c r="BT22" i="9"/>
  <c r="BU7" i="9"/>
  <c r="BU8" i="9" s="1"/>
  <c r="CW15" i="9"/>
  <c r="BU10" i="9" l="1"/>
  <c r="CX13" i="9"/>
  <c r="BU9" i="9" l="1"/>
  <c r="BU18" i="9" s="1"/>
  <c r="BU20" i="9" s="1"/>
  <c r="BV6" i="9"/>
  <c r="BU19" i="9"/>
  <c r="CX14" i="9"/>
  <c r="CX16" i="9" s="1"/>
  <c r="CY12" i="9" s="1"/>
  <c r="BU21" i="9" l="1"/>
  <c r="BU22" i="9"/>
  <c r="BV7" i="9"/>
  <c r="BV8" i="9" s="1"/>
  <c r="CX15" i="9"/>
  <c r="BV10" i="9" l="1"/>
  <c r="CY13" i="9"/>
  <c r="BV9" i="9" l="1"/>
  <c r="BV18" i="9" s="1"/>
  <c r="BV20" i="9" s="1"/>
  <c r="BW6" i="9"/>
  <c r="BV19" i="9"/>
  <c r="CY14" i="9"/>
  <c r="CY16" i="9" s="1"/>
  <c r="CZ12" i="9" s="1"/>
  <c r="BW7" i="9" l="1"/>
  <c r="BW8" i="9" s="1"/>
  <c r="BV21" i="9"/>
  <c r="BV22" i="9"/>
  <c r="CY15" i="9"/>
  <c r="BW10" i="9" l="1"/>
  <c r="CZ13" i="9"/>
  <c r="BW9" i="9" l="1"/>
  <c r="BW18" i="9" s="1"/>
  <c r="BX6" i="9"/>
  <c r="BW19" i="9"/>
  <c r="CZ14" i="9"/>
  <c r="CZ16" i="9" s="1"/>
  <c r="DA12" i="9" s="1"/>
  <c r="H44" i="1" l="1"/>
  <c r="BW21" i="9"/>
  <c r="BW22" i="9"/>
  <c r="F23" i="12"/>
  <c r="G23" i="12" s="1"/>
  <c r="BX7" i="9"/>
  <c r="BX8" i="9" s="1"/>
  <c r="BW20" i="9"/>
  <c r="H6" i="13"/>
  <c r="H7" i="13" s="1"/>
  <c r="CZ15" i="9"/>
  <c r="H29" i="13" l="1"/>
  <c r="H31" i="13"/>
  <c r="H33" i="13"/>
  <c r="H30" i="13"/>
  <c r="H32" i="13"/>
  <c r="BX10" i="9"/>
  <c r="DA13" i="9"/>
  <c r="BY6" i="9" l="1"/>
  <c r="BX19" i="9"/>
  <c r="H23" i="12"/>
  <c r="O29" i="13"/>
  <c r="J23" i="12" s="1"/>
  <c r="N29" i="13"/>
  <c r="I23" i="12" s="1"/>
  <c r="H46" i="1" s="1"/>
  <c r="P29" i="13"/>
  <c r="K23" i="12" s="1"/>
  <c r="BX9" i="9"/>
  <c r="BX18" i="9" s="1"/>
  <c r="DA14" i="9"/>
  <c r="DA16" i="9" s="1"/>
  <c r="DB12" i="9" s="1"/>
  <c r="BX20" i="9" l="1"/>
  <c r="BX22" i="9"/>
  <c r="BX21" i="9"/>
  <c r="BY7" i="9"/>
  <c r="BY8" i="9" s="1"/>
  <c r="DA15" i="9"/>
  <c r="BY10" i="9" l="1"/>
  <c r="DB13" i="9"/>
  <c r="BY9" i="9" l="1"/>
  <c r="BY18" i="9" s="1"/>
  <c r="BZ6" i="9"/>
  <c r="BY19" i="9"/>
  <c r="DB14" i="9"/>
  <c r="DB16" i="9" s="1"/>
  <c r="DC12" i="9" s="1"/>
  <c r="BZ7" i="9" l="1"/>
  <c r="BZ8" i="9" s="1"/>
  <c r="BY22" i="9"/>
  <c r="BY21" i="9"/>
  <c r="BY20" i="9"/>
  <c r="DB15" i="9"/>
  <c r="BZ10" i="9" l="1"/>
  <c r="DC13" i="9"/>
  <c r="BZ9" i="9" l="1"/>
  <c r="BZ18" i="9" s="1"/>
  <c r="CA6" i="9"/>
  <c r="BZ19" i="9"/>
  <c r="DC14" i="9"/>
  <c r="DC16" i="9" s="1"/>
  <c r="DD12" i="9" s="1"/>
  <c r="BZ22" i="9" l="1"/>
  <c r="BZ21" i="9"/>
  <c r="CA7" i="9"/>
  <c r="CA8" i="9" s="1"/>
  <c r="BZ20" i="9"/>
  <c r="DC15" i="9"/>
  <c r="CA10" i="9" l="1"/>
  <c r="DD13" i="9"/>
  <c r="CB6" i="9" l="1"/>
  <c r="CA19" i="9"/>
  <c r="CA9" i="9"/>
  <c r="CA18" i="9" s="1"/>
  <c r="DD14" i="9"/>
  <c r="DD16" i="9" s="1"/>
  <c r="DE12" i="9" s="1"/>
  <c r="CA20" i="9" l="1"/>
  <c r="CA22" i="9"/>
  <c r="CA21" i="9"/>
  <c r="CB7" i="9"/>
  <c r="CB8" i="9" s="1"/>
  <c r="DD15" i="9"/>
  <c r="CB10" i="9" l="1"/>
  <c r="DE13" i="9"/>
  <c r="CB9" i="9" l="1"/>
  <c r="CB18" i="9" s="1"/>
  <c r="CC6" i="9"/>
  <c r="CB19" i="9"/>
  <c r="DE14" i="9"/>
  <c r="DE16" i="9" s="1"/>
  <c r="DF12" i="9" s="1"/>
  <c r="CB20" i="9" l="1"/>
  <c r="CB22" i="9"/>
  <c r="CB21" i="9"/>
  <c r="CC7" i="9"/>
  <c r="CC8" i="9" s="1"/>
  <c r="DE15" i="9"/>
  <c r="CC10" i="9" l="1"/>
  <c r="DF13" i="9"/>
  <c r="CC9" i="9" l="1"/>
  <c r="CC18" i="9" s="1"/>
  <c r="CC20" i="9" s="1"/>
  <c r="CD6" i="9"/>
  <c r="CC19" i="9"/>
  <c r="DF14" i="9"/>
  <c r="DF16" i="9" s="1"/>
  <c r="DG12" i="9" s="1"/>
  <c r="CC21" i="9" l="1"/>
  <c r="CC22" i="9"/>
  <c r="CD7" i="9"/>
  <c r="CD8" i="9" s="1"/>
  <c r="DF15" i="9"/>
  <c r="CD10" i="9" l="1"/>
  <c r="DG13" i="9"/>
  <c r="CD9" i="9" l="1"/>
  <c r="CD18" i="9" s="1"/>
  <c r="CD20" i="9" s="1"/>
  <c r="CE6" i="9"/>
  <c r="CD19" i="9"/>
  <c r="DG14" i="9"/>
  <c r="DG16" i="9" s="1"/>
  <c r="DH12" i="9" s="1"/>
  <c r="CD22" i="9" l="1"/>
  <c r="CD21" i="9"/>
  <c r="CE7" i="9"/>
  <c r="CE8" i="9" s="1"/>
  <c r="DG15" i="9"/>
  <c r="CE10" i="9" l="1"/>
  <c r="DH13" i="9"/>
  <c r="CE9" i="9" l="1"/>
  <c r="CE18" i="9" s="1"/>
  <c r="CE20" i="9" s="1"/>
  <c r="CF6" i="9"/>
  <c r="CE19" i="9"/>
  <c r="DH14" i="9"/>
  <c r="DH16" i="9" s="1"/>
  <c r="DI12" i="9" s="1"/>
  <c r="CE21" i="9" l="1"/>
  <c r="CE22" i="9"/>
  <c r="CF7" i="9"/>
  <c r="CF8" i="9" s="1"/>
  <c r="DH15" i="9"/>
  <c r="CF10" i="9" l="1"/>
  <c r="DI13" i="9"/>
  <c r="CG6" i="9" l="1"/>
  <c r="CF19" i="9"/>
  <c r="CF9" i="9"/>
  <c r="CF18" i="9" s="1"/>
  <c r="CF20" i="9" s="1"/>
  <c r="DI14" i="9"/>
  <c r="DI16" i="9" s="1"/>
  <c r="DJ12" i="9" s="1"/>
  <c r="CG7" i="9" l="1"/>
  <c r="CG8" i="9" s="1"/>
  <c r="CF21" i="9"/>
  <c r="CF22" i="9"/>
  <c r="DI15" i="9"/>
  <c r="CG10" i="9" l="1"/>
  <c r="DJ13" i="9"/>
  <c r="CG9" i="9" l="1"/>
  <c r="CG18" i="9" s="1"/>
  <c r="CG20" i="9" s="1"/>
  <c r="CH6" i="9"/>
  <c r="CG19" i="9"/>
  <c r="DJ14" i="9"/>
  <c r="DJ16" i="9" s="1"/>
  <c r="DK12" i="9" s="1"/>
  <c r="CG21" i="9" l="1"/>
  <c r="CG22" i="9"/>
  <c r="CH7" i="9"/>
  <c r="CH8" i="9" s="1"/>
  <c r="DJ15" i="9"/>
  <c r="CH10" i="9" l="1"/>
  <c r="DK13" i="9"/>
  <c r="CI6" i="9" l="1"/>
  <c r="CH19" i="9"/>
  <c r="CH9" i="9"/>
  <c r="CH18" i="9" s="1"/>
  <c r="CH20" i="9" s="1"/>
  <c r="DK14" i="9"/>
  <c r="DK16" i="9" s="1"/>
  <c r="DL12" i="9" s="1"/>
  <c r="CH21" i="9" l="1"/>
  <c r="CH22" i="9"/>
  <c r="CI7" i="9"/>
  <c r="CI8" i="9" s="1"/>
  <c r="DK15" i="9"/>
  <c r="CI10" i="9" l="1"/>
  <c r="DL13" i="9"/>
  <c r="CJ6" i="9" l="1"/>
  <c r="CI19" i="9"/>
  <c r="CI9" i="9"/>
  <c r="CI18" i="9" s="1"/>
  <c r="DL14" i="9"/>
  <c r="DL16" i="9" s="1"/>
  <c r="DM12" i="9" s="1"/>
  <c r="CJ7" i="9" l="1"/>
  <c r="CJ8" i="9" s="1"/>
  <c r="CI20" i="9"/>
  <c r="I6" i="13"/>
  <c r="I7" i="13" s="1"/>
  <c r="F24" i="12"/>
  <c r="G24" i="12" s="1"/>
  <c r="CI21" i="9"/>
  <c r="CI22" i="9"/>
  <c r="I44" i="1"/>
  <c r="DL15" i="9"/>
  <c r="I31" i="13" l="1"/>
  <c r="I33" i="13"/>
  <c r="I32" i="13"/>
  <c r="I30" i="13"/>
  <c r="CJ10" i="9"/>
  <c r="DM13" i="9"/>
  <c r="CJ9" i="9" l="1"/>
  <c r="CJ18" i="9" s="1"/>
  <c r="CJ20" i="9" s="1"/>
  <c r="H24" i="12"/>
  <c r="P30" i="13"/>
  <c r="K24" i="12" s="1"/>
  <c r="O30" i="13"/>
  <c r="J24" i="12" s="1"/>
  <c r="N30" i="13"/>
  <c r="I24" i="12" s="1"/>
  <c r="I46" i="1" s="1"/>
  <c r="CK6" i="9"/>
  <c r="CJ19" i="9"/>
  <c r="DM14" i="9"/>
  <c r="DM16" i="9" s="1"/>
  <c r="DN12" i="9" s="1"/>
  <c r="CJ22" i="9" l="1"/>
  <c r="CJ21" i="9"/>
  <c r="CK7" i="9"/>
  <c r="CK8" i="9" s="1"/>
  <c r="DM15" i="9"/>
  <c r="CK10" i="9" l="1"/>
  <c r="DN13" i="9"/>
  <c r="CL6" i="9" l="1"/>
  <c r="CK19" i="9"/>
  <c r="CK9" i="9"/>
  <c r="CK18" i="9" s="1"/>
  <c r="DN14" i="9"/>
  <c r="DN16" i="9" s="1"/>
  <c r="DO12" i="9" s="1"/>
  <c r="CK20" i="9" l="1"/>
  <c r="CK22" i="9"/>
  <c r="CK21" i="9"/>
  <c r="CL7" i="9"/>
  <c r="CL8" i="9" s="1"/>
  <c r="DN15" i="9"/>
  <c r="CL10" i="9" l="1"/>
  <c r="DO13" i="9"/>
  <c r="CL9" i="9" l="1"/>
  <c r="CL18" i="9" s="1"/>
  <c r="CM6" i="9"/>
  <c r="CL19" i="9"/>
  <c r="DO14" i="9"/>
  <c r="DO16" i="9" s="1"/>
  <c r="DP12" i="9" s="1"/>
  <c r="CL22" i="9" l="1"/>
  <c r="CL21" i="9"/>
  <c r="CM7" i="9"/>
  <c r="CM8" i="9" s="1"/>
  <c r="CL20" i="9"/>
  <c r="DO15" i="9"/>
  <c r="CM10" i="9" l="1"/>
  <c r="DP13" i="9"/>
  <c r="CM9" i="9" l="1"/>
  <c r="CM18" i="9" s="1"/>
  <c r="CM20" i="9" s="1"/>
  <c r="CN6" i="9"/>
  <c r="CM19" i="9"/>
  <c r="DP14" i="9"/>
  <c r="DP16" i="9" s="1"/>
  <c r="DQ12" i="9" s="1"/>
  <c r="CN7" i="9" l="1"/>
  <c r="CN8" i="9" s="1"/>
  <c r="CM22" i="9"/>
  <c r="CM21" i="9"/>
  <c r="DP15" i="9"/>
  <c r="CN10" i="9" l="1"/>
  <c r="DQ13" i="9"/>
  <c r="CN9" i="9" l="1"/>
  <c r="CN18" i="9" s="1"/>
  <c r="CO6" i="9"/>
  <c r="CN19" i="9"/>
  <c r="DQ14" i="9"/>
  <c r="DQ16" i="9" s="1"/>
  <c r="DR12" i="9" s="1"/>
  <c r="CN20" i="9" l="1"/>
  <c r="CN21" i="9"/>
  <c r="CN22" i="9"/>
  <c r="CO7" i="9"/>
  <c r="CO8" i="9" s="1"/>
  <c r="DQ15" i="9"/>
  <c r="CO10" i="9" l="1"/>
  <c r="DR13" i="9"/>
  <c r="CO9" i="9" l="1"/>
  <c r="CO18" i="9" s="1"/>
  <c r="CO20" i="9" s="1"/>
  <c r="CP6" i="9"/>
  <c r="CO19" i="9"/>
  <c r="DR14" i="9"/>
  <c r="DR16" i="9" s="1"/>
  <c r="DS12" i="9" s="1"/>
  <c r="CO21" i="9" l="1"/>
  <c r="CO22" i="9"/>
  <c r="CP7" i="9"/>
  <c r="CP8" i="9" s="1"/>
  <c r="DR15" i="9"/>
  <c r="CP10" i="9" l="1"/>
  <c r="DS13" i="9"/>
  <c r="CP9" i="9" l="1"/>
  <c r="CP18" i="9" s="1"/>
  <c r="CP20" i="9" s="1"/>
  <c r="CQ6" i="9"/>
  <c r="CP19" i="9"/>
  <c r="DS14" i="9"/>
  <c r="DS16" i="9" s="1"/>
  <c r="CP22" i="9" l="1"/>
  <c r="CP21" i="9"/>
  <c r="CQ7" i="9"/>
  <c r="CQ8" i="9" s="1"/>
  <c r="DS15" i="9"/>
  <c r="CQ10" i="9" l="1"/>
  <c r="CQ9" i="9" l="1"/>
  <c r="CQ18" i="9" s="1"/>
  <c r="CQ20" i="9" s="1"/>
  <c r="CR6" i="9"/>
  <c r="CQ19" i="9"/>
  <c r="CQ21" i="9" l="1"/>
  <c r="CQ22" i="9"/>
  <c r="CR7" i="9"/>
  <c r="CR8" i="9" s="1"/>
  <c r="CR10" i="9" l="1"/>
  <c r="CR9" i="9" l="1"/>
  <c r="CR18" i="9" s="1"/>
  <c r="CR20" i="9" s="1"/>
  <c r="CS6" i="9"/>
  <c r="CR19" i="9"/>
  <c r="CR22" i="9" l="1"/>
  <c r="CR21" i="9"/>
  <c r="CS7" i="9"/>
  <c r="CS8" i="9" s="1"/>
  <c r="CS10" i="9" l="1"/>
  <c r="CS9" i="9" l="1"/>
  <c r="CS18" i="9" s="1"/>
  <c r="CS20" i="9" s="1"/>
  <c r="CT6" i="9"/>
  <c r="CS19" i="9"/>
  <c r="CS21" i="9" l="1"/>
  <c r="CS22" i="9"/>
  <c r="CT7" i="9"/>
  <c r="CT8" i="9" s="1"/>
  <c r="CT10" i="9" l="1"/>
  <c r="CU6" i="9" l="1"/>
  <c r="CT19" i="9"/>
  <c r="CT9" i="9"/>
  <c r="CT18" i="9" s="1"/>
  <c r="CT20" i="9" s="1"/>
  <c r="CU7" i="9" l="1"/>
  <c r="CU8" i="9" s="1"/>
  <c r="CT22" i="9"/>
  <c r="CT21" i="9"/>
  <c r="CU10" i="9" l="1"/>
  <c r="CV6" i="9" l="1"/>
  <c r="CU19" i="9"/>
  <c r="CU9" i="9"/>
  <c r="CU18" i="9" s="1"/>
  <c r="CV7" i="9" l="1"/>
  <c r="CV8" i="9" s="1"/>
  <c r="CU20" i="9"/>
  <c r="J6" i="13"/>
  <c r="J7" i="13" s="1"/>
  <c r="CU22" i="9"/>
  <c r="F25" i="12"/>
  <c r="G25" i="12" s="1"/>
  <c r="CU21" i="9"/>
  <c r="J44" i="1"/>
  <c r="J32" i="13" l="1"/>
  <c r="J31" i="13"/>
  <c r="J33" i="13"/>
  <c r="CV10" i="9"/>
  <c r="CW6" i="9" l="1"/>
  <c r="CV19" i="9"/>
  <c r="CV9" i="9"/>
  <c r="CV18" i="9" s="1"/>
  <c r="H25" i="12"/>
  <c r="O31" i="13"/>
  <c r="J25" i="12" s="1"/>
  <c r="P31" i="13"/>
  <c r="K25" i="12" s="1"/>
  <c r="N31" i="13"/>
  <c r="I25" i="12" s="1"/>
  <c r="J46" i="1" s="1"/>
  <c r="CV20" i="9" l="1"/>
  <c r="CV22" i="9"/>
  <c r="CV21" i="9"/>
  <c r="CW7" i="9"/>
  <c r="CW8" i="9" s="1"/>
  <c r="CW10" i="9" l="1"/>
  <c r="CW9" i="9" l="1"/>
  <c r="CW18" i="9" s="1"/>
  <c r="CX6" i="9"/>
  <c r="CW19" i="9"/>
  <c r="CW22" i="9" l="1"/>
  <c r="CW21" i="9"/>
  <c r="CW20" i="9"/>
  <c r="CX7" i="9"/>
  <c r="CX8" i="9" s="1"/>
  <c r="CX10" i="9" l="1"/>
  <c r="CX9" i="9" l="1"/>
  <c r="CX18" i="9" s="1"/>
  <c r="CY6" i="9"/>
  <c r="CX19" i="9"/>
  <c r="CX22" i="9" l="1"/>
  <c r="CX21" i="9"/>
  <c r="CX20" i="9"/>
  <c r="CY7" i="9"/>
  <c r="CY8" i="9" s="1"/>
  <c r="CY10" i="9" l="1"/>
  <c r="CZ6" i="9" l="1"/>
  <c r="CY19" i="9"/>
  <c r="CY9" i="9"/>
  <c r="CY18" i="9" s="1"/>
  <c r="CY20" i="9" l="1"/>
  <c r="CY21" i="9"/>
  <c r="CY22" i="9"/>
  <c r="CZ7" i="9"/>
  <c r="CZ8" i="9" s="1"/>
  <c r="CZ10" i="9" l="1"/>
  <c r="DA6" i="9" l="1"/>
  <c r="CZ19" i="9"/>
  <c r="CZ9" i="9"/>
  <c r="CZ18" i="9" s="1"/>
  <c r="DA7" i="9" l="1"/>
  <c r="DA8" i="9" s="1"/>
  <c r="CZ20" i="9"/>
  <c r="CZ21" i="9"/>
  <c r="CZ22" i="9"/>
  <c r="DA10" i="9" l="1"/>
  <c r="DA9" i="9" l="1"/>
  <c r="DA18" i="9" s="1"/>
  <c r="DA20" i="9" s="1"/>
  <c r="DB6" i="9"/>
  <c r="DA19" i="9"/>
  <c r="DA21" i="9" l="1"/>
  <c r="DA22" i="9"/>
  <c r="DB7" i="9"/>
  <c r="DB8" i="9" s="1"/>
  <c r="DB10" i="9" l="1"/>
  <c r="DB9" i="9" l="1"/>
  <c r="DB18" i="9" s="1"/>
  <c r="DB20" i="9" s="1"/>
  <c r="DC6" i="9"/>
  <c r="DB19" i="9"/>
  <c r="DB21" i="9" l="1"/>
  <c r="DB22" i="9"/>
  <c r="DC7" i="9"/>
  <c r="DC8" i="9" s="1"/>
  <c r="DC10" i="9" l="1"/>
  <c r="DC9" i="9" l="1"/>
  <c r="DC18" i="9" s="1"/>
  <c r="DC20" i="9" s="1"/>
  <c r="DD6" i="9"/>
  <c r="DC19" i="9"/>
  <c r="DC21" i="9" l="1"/>
  <c r="DC22" i="9"/>
  <c r="DD7" i="9"/>
  <c r="DD8" i="9" s="1"/>
  <c r="DD10" i="9" l="1"/>
  <c r="DE6" i="9" l="1"/>
  <c r="DD19" i="9"/>
  <c r="DD9" i="9"/>
  <c r="DD18" i="9" s="1"/>
  <c r="DD20" i="9" s="1"/>
  <c r="DE7" i="9" l="1"/>
  <c r="DE8" i="9" s="1"/>
  <c r="DD21" i="9"/>
  <c r="DD22" i="9"/>
  <c r="DE10" i="9" l="1"/>
  <c r="DE9" i="9" l="1"/>
  <c r="DE18" i="9" s="1"/>
  <c r="DE20" i="9" s="1"/>
  <c r="DF6" i="9"/>
  <c r="DE19" i="9"/>
  <c r="DE21" i="9" l="1"/>
  <c r="DE22" i="9"/>
  <c r="DF7" i="9"/>
  <c r="DF8" i="9" s="1"/>
  <c r="DF10" i="9" l="1"/>
  <c r="DG6" i="9" l="1"/>
  <c r="DF19" i="9"/>
  <c r="DF9" i="9"/>
  <c r="DF18" i="9" s="1"/>
  <c r="DF20" i="9" s="1"/>
  <c r="DG7" i="9" l="1"/>
  <c r="DG8" i="9" s="1"/>
  <c r="DF21" i="9"/>
  <c r="DF22" i="9"/>
  <c r="DG10" i="9" l="1"/>
  <c r="DH6" i="9" l="1"/>
  <c r="DG19" i="9"/>
  <c r="DG9" i="9"/>
  <c r="DG18" i="9" s="1"/>
  <c r="DG20" i="9" l="1"/>
  <c r="K6" i="13"/>
  <c r="K7" i="13" s="1"/>
  <c r="F26" i="12"/>
  <c r="G26" i="12" s="1"/>
  <c r="K44" i="1"/>
  <c r="DG21" i="9"/>
  <c r="DG22" i="9"/>
  <c r="DH7" i="9"/>
  <c r="DH8" i="9" s="1"/>
  <c r="K33" i="13" l="1"/>
  <c r="K32" i="13"/>
  <c r="DH10" i="9"/>
  <c r="H26" i="12" l="1"/>
  <c r="N32" i="13"/>
  <c r="I26" i="12" s="1"/>
  <c r="K46" i="1" s="1"/>
  <c r="P32" i="13"/>
  <c r="K26" i="12" s="1"/>
  <c r="O32" i="13"/>
  <c r="J26" i="12" s="1"/>
  <c r="DH9" i="9"/>
  <c r="DH18" i="9" s="1"/>
  <c r="DI6" i="9"/>
  <c r="DH19" i="9"/>
  <c r="DH21" i="9" l="1"/>
  <c r="DH22" i="9"/>
  <c r="DH20" i="9"/>
  <c r="DI7" i="9"/>
  <c r="DI8" i="9" s="1"/>
  <c r="DI10" i="9" l="1"/>
  <c r="DI9" i="9" l="1"/>
  <c r="DI18" i="9" s="1"/>
  <c r="DJ6" i="9"/>
  <c r="DI19" i="9"/>
  <c r="DI22" i="9" l="1"/>
  <c r="DI21" i="9"/>
  <c r="DJ7" i="9"/>
  <c r="DJ8" i="9" s="1"/>
  <c r="DI20" i="9"/>
  <c r="DJ10" i="9" l="1"/>
  <c r="DJ9" i="9" l="1"/>
  <c r="DJ18" i="9" s="1"/>
  <c r="DK6" i="9"/>
  <c r="DJ19" i="9"/>
  <c r="DJ22" i="9" l="1"/>
  <c r="DJ21" i="9"/>
  <c r="DK7" i="9"/>
  <c r="DK8" i="9" s="1"/>
  <c r="DJ20" i="9"/>
  <c r="DK10" i="9" l="1"/>
  <c r="DK9" i="9" l="1"/>
  <c r="DK18" i="9" s="1"/>
  <c r="DL6" i="9"/>
  <c r="DK19" i="9"/>
  <c r="DL7" i="9" l="1"/>
  <c r="DL8" i="9" s="1"/>
  <c r="DK21" i="9"/>
  <c r="DK22" i="9"/>
  <c r="DK20" i="9"/>
  <c r="DL10" i="9" l="1"/>
  <c r="DL9" i="9" l="1"/>
  <c r="DL18" i="9" s="1"/>
  <c r="DM6" i="9"/>
  <c r="DL19" i="9"/>
  <c r="DM7" i="9" l="1"/>
  <c r="DM8" i="9" s="1"/>
  <c r="DL21" i="9"/>
  <c r="DL22" i="9"/>
  <c r="DL20" i="9"/>
  <c r="DM10" i="9" l="1"/>
  <c r="DM9" i="9" l="1"/>
  <c r="DM18" i="9" s="1"/>
  <c r="DM20" i="9" s="1"/>
  <c r="DN6" i="9"/>
  <c r="DM19" i="9"/>
  <c r="DN7" i="9" l="1"/>
  <c r="DN8" i="9" s="1"/>
  <c r="DM21" i="9"/>
  <c r="DM22" i="9"/>
  <c r="DN10" i="9" l="1"/>
  <c r="DN9" i="9" l="1"/>
  <c r="DN18" i="9" s="1"/>
  <c r="DN20" i="9" s="1"/>
  <c r="DO6" i="9"/>
  <c r="DN19" i="9"/>
  <c r="DO7" i="9" l="1"/>
  <c r="DO8" i="9" s="1"/>
  <c r="DN22" i="9"/>
  <c r="DN21" i="9"/>
  <c r="DO10" i="9" l="1"/>
  <c r="DO9" i="9" l="1"/>
  <c r="DO18" i="9" s="1"/>
  <c r="DO20" i="9" s="1"/>
  <c r="DP6" i="9"/>
  <c r="DO19" i="9"/>
  <c r="DP7" i="9" l="1"/>
  <c r="DP8" i="9" s="1"/>
  <c r="DO22" i="9"/>
  <c r="DO21" i="9"/>
  <c r="DP10" i="9" l="1"/>
  <c r="DP9" i="9" l="1"/>
  <c r="DP18" i="9" s="1"/>
  <c r="DP20" i="9" s="1"/>
  <c r="DQ6" i="9"/>
  <c r="DP19" i="9"/>
  <c r="DP21" i="9" l="1"/>
  <c r="DP22" i="9"/>
  <c r="DQ7" i="9"/>
  <c r="DQ8" i="9" s="1"/>
  <c r="DQ10" i="9" l="1"/>
  <c r="DQ9" i="9" l="1"/>
  <c r="DQ18" i="9" s="1"/>
  <c r="DQ20" i="9" s="1"/>
  <c r="DR6" i="9"/>
  <c r="DQ19" i="9"/>
  <c r="DQ22" i="9" l="1"/>
  <c r="DQ21" i="9"/>
  <c r="DR7" i="9"/>
  <c r="DR8" i="9" s="1"/>
  <c r="DR10" i="9" l="1"/>
  <c r="DR9" i="9" l="1"/>
  <c r="DR18" i="9" s="1"/>
  <c r="DR20" i="9" s="1"/>
  <c r="DS6" i="9"/>
  <c r="DR19" i="9"/>
  <c r="DR22" i="9" l="1"/>
  <c r="DR21" i="9"/>
  <c r="DS7" i="9"/>
  <c r="DS8" i="9" s="1"/>
  <c r="DS10" i="9" l="1"/>
  <c r="DS19" i="9" s="1"/>
  <c r="DS9" i="9"/>
  <c r="DS18" i="9" s="1"/>
  <c r="C12" i="18" l="1"/>
  <c r="C20" i="18" s="1"/>
  <c r="DS20" i="9"/>
  <c r="L6" i="13"/>
  <c r="L7" i="13" s="1"/>
  <c r="DS22" i="9"/>
  <c r="F27" i="12"/>
  <c r="G27" i="12" s="1"/>
  <c r="DS21" i="9"/>
  <c r="L44" i="1"/>
  <c r="L33" i="13" l="1"/>
  <c r="B19" i="13"/>
  <c r="B23" i="1" s="1"/>
  <c r="H27" i="12" l="1"/>
  <c r="O33" i="13"/>
  <c r="J27" i="12" s="1"/>
  <c r="N33" i="13"/>
  <c r="I27" i="12" s="1"/>
  <c r="L46" i="1" s="1"/>
  <c r="P33" i="13"/>
  <c r="K27" i="12" s="1"/>
  <c r="P24" i="13" l="1"/>
  <c r="K18" i="12" s="1"/>
  <c r="N24" i="13"/>
  <c r="I18" i="12" s="1"/>
  <c r="C46" i="1" s="1"/>
  <c r="O24" i="13"/>
  <c r="J18" i="12" s="1"/>
  <c r="P27" i="21"/>
  <c r="O27" i="21"/>
  <c r="N27" i="21"/>
</calcChain>
</file>

<file path=xl/sharedStrings.xml><?xml version="1.0" encoding="utf-8"?>
<sst xmlns="http://schemas.openxmlformats.org/spreadsheetml/2006/main" count="1138" uniqueCount="536">
  <si>
    <t>INVESTMENT SUMMARY</t>
  </si>
  <si>
    <t>One-page dashboard — all figures link live to the model. Placeholder assumptions; replace on the Assumptions tab.</t>
  </si>
  <si>
    <t>KEY METRICS</t>
  </si>
  <si>
    <t>Purchase Price</t>
  </si>
  <si>
    <t>Price per Pad</t>
  </si>
  <si>
    <t>Total Pads</t>
  </si>
  <si>
    <t>Occupancy at Close</t>
  </si>
  <si>
    <t>Stabilized Occupancy</t>
  </si>
  <si>
    <t>Going-in Cap Rate</t>
  </si>
  <si>
    <t>Year-1 NOI</t>
  </si>
  <si>
    <t>Stabilized NOI (Yr 3)</t>
  </si>
  <si>
    <t>Initial Loan</t>
  </si>
  <si>
    <t>Initial LTV</t>
  </si>
  <si>
    <t>Equity Required</t>
  </si>
  <si>
    <t>Refi Net Proceeds (Yr 3)</t>
  </si>
  <si>
    <t>Exit Value</t>
  </si>
  <si>
    <t>Net Sale Proceeds</t>
  </si>
  <si>
    <t>RETURNS</t>
  </si>
  <si>
    <t>Levered IRR</t>
  </si>
  <si>
    <t>Equity Multiple</t>
  </si>
  <si>
    <t>Avg Cash-on-Cash</t>
  </si>
  <si>
    <t>Total Profit</t>
  </si>
  <si>
    <t>Hold Period (yrs)</t>
  </si>
  <si>
    <t>LP IRR  /  GP IRR</t>
  </si>
  <si>
    <t>LP Equity Multiple</t>
  </si>
  <si>
    <t>Chart data (annual)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</si>
  <si>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</si>
  <si>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</si>
  <si>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</si>
  <si>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</si>
  <si>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</si>
  <si>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</si>
  <si>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</si>
  <si>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</si>
  <si>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</si>
  <si>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</si>
  <si>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EGR</t>
  </si>
  <si>
    <t>NOI</t>
  </si>
  <si>
    <t>Occupancy</t>
  </si>
  <si>
    <t>Debt Balance</t>
  </si>
  <si>
    <t>IRR by exit year</t>
  </si>
  <si>
    <t>MOBILE HOME PARK — ACQUISITION &amp; UNDERWRITING MODEL</t>
  </si>
  <si>
    <t>Assumptions &amp; scenario levers  |  BLUE = editable input   YELLOW = key assumption   GREEN = pulled from another sheet</t>
  </si>
  <si>
    <t>SCENARIO CONTROL</t>
  </si>
  <si>
    <t>Active Scenario (1=Down  2=Base  3=Up)</t>
  </si>
  <si>
    <t>Change this one cell to flip the whole model between cases.</t>
  </si>
  <si>
    <t>Scenario name</t>
  </si>
  <si>
    <t>Scenario-driven levers</t>
  </si>
  <si>
    <t>Active (used)</t>
  </si>
  <si>
    <t>Downside</t>
  </si>
  <si>
    <t>Base</t>
  </si>
  <si>
    <t>Upside</t>
  </si>
  <si>
    <t>Purchase Price ($)</t>
  </si>
  <si>
    <t>Placeholder — replace with LOI/contract price</t>
  </si>
  <si>
    <t>Stabilized Physical Occupancy</t>
  </si>
  <si>
    <t>Annual Rent Growth</t>
  </si>
  <si>
    <t>Annual Expense Growth</t>
  </si>
  <si>
    <t>Exit Cap Rate</t>
  </si>
  <si>
    <t>Initial Loan Interest Rate</t>
  </si>
  <si>
    <t>PROPERTY</t>
  </si>
  <si>
    <t>Acquisition Date</t>
  </si>
  <si>
    <t>First month of operations</t>
  </si>
  <si>
    <t>Total Pads / Lots</t>
  </si>
  <si>
    <t>All rentable pads</t>
  </si>
  <si>
    <t>Occupied Pads (in-place)</t>
  </si>
  <si>
    <t>Physical occupancy at close</t>
  </si>
  <si>
    <t>Vacant Pads</t>
  </si>
  <si>
    <t>Park-Owned Homes (POH) — total</t>
  </si>
  <si>
    <t>Homes owned by park (subset of pads)</t>
  </si>
  <si>
    <t>POH — occupied</t>
  </si>
  <si>
    <t>POH — vacant</t>
  </si>
  <si>
    <t>REVENUE</t>
  </si>
  <si>
    <t>Lot Rent — in-place ($/pad/mo)</t>
  </si>
  <si>
    <t>Blended in-place pad rent</t>
  </si>
  <si>
    <t>Lot Rent — market ($/pad/mo)</t>
  </si>
  <si>
    <t>POH Home Rent premium ($/home/mo)</t>
  </si>
  <si>
    <t>Charged on top of lot rent for POH</t>
  </si>
  <si>
    <t>Other Income ($/occ pad/mo)</t>
  </si>
  <si>
    <t>Late fees, pet, utility admin, etc.</t>
  </si>
  <si>
    <t>Utility Reimbursement ($/occ pad/mo)</t>
  </si>
  <si>
    <t>RUBS / direct bill-back</t>
  </si>
  <si>
    <t>Collection Loss / Bad Debt (% of gross)</t>
  </si>
  <si>
    <t>Lease-up Period (months to stabilize)</t>
  </si>
  <si>
    <t>Other-Income Growth</t>
  </si>
  <si>
    <t>OPERATING EXPENSES  (Year-1 annual $)</t>
  </si>
  <si>
    <t>Property Taxes</t>
  </si>
  <si>
    <t>Insurance</t>
  </si>
  <si>
    <t>Electricity</t>
  </si>
  <si>
    <t>Gas</t>
  </si>
  <si>
    <t>Water</t>
  </si>
  <si>
    <t>Sewer</t>
  </si>
  <si>
    <t>Repairs &amp; Maintenance</t>
  </si>
  <si>
    <t>POH Insurance</t>
  </si>
  <si>
    <t>POH Repairs / Home Maint.</t>
  </si>
  <si>
    <t>Turnover / Make-ready</t>
  </si>
  <si>
    <t>Administrative</t>
  </si>
  <si>
    <t>Legal / Professional</t>
  </si>
  <si>
    <t>Landscaping</t>
  </si>
  <si>
    <t>Trash</t>
  </si>
  <si>
    <t>Other Operating</t>
  </si>
  <si>
    <t>Management Fee (% of EGR)</t>
  </si>
  <si>
    <t>CAPITAL EXPENDITURES</t>
  </si>
  <si>
    <t>Replacement Reserve ($/pad/yr)</t>
  </si>
  <si>
    <t>Roads (one-time, month 1)</t>
  </si>
  <si>
    <t>Water/Sewer Infrastructure (one-time)</t>
  </si>
  <si>
    <t>Electrical (one-time)</t>
  </si>
  <si>
    <t>Common-Area Improvements (one-time)</t>
  </si>
  <si>
    <t>POH Renovations (one-time)</t>
  </si>
  <si>
    <t>Other CapEx (one-time)</t>
  </si>
  <si>
    <t>Total Initial CapEx (in Uses)</t>
  </si>
  <si>
    <t>Funded at close via Sources &amp; Uses</t>
  </si>
  <si>
    <t>FINANCING — INITIAL LOAN</t>
  </si>
  <si>
    <t>Initial LTV (max)</t>
  </si>
  <si>
    <t>Amortization (months)</t>
  </si>
  <si>
    <t>Loan Term (months)</t>
  </si>
  <si>
    <t>Interest-Only Period (months)</t>
  </si>
  <si>
    <t>Loan Fees (% of loan)</t>
  </si>
  <si>
    <t>DSCR Requirement (min)</t>
  </si>
  <si>
    <t>Debt Yield Requirement (min)</t>
  </si>
  <si>
    <t>Acquisition Costs (% of price)</t>
  </si>
  <si>
    <t>Legal, DD, title, closing</t>
  </si>
  <si>
    <t>FINANCING — REFINANCE</t>
  </si>
  <si>
    <t>Model Refinance? (1=Yes 0=No)</t>
  </si>
  <si>
    <t>Toggle refinance event</t>
  </si>
  <si>
    <t>Refinance Month</t>
  </si>
  <si>
    <t>Refinance LTV</t>
  </si>
  <si>
    <t>Refinance Interest Rate</t>
  </si>
  <si>
    <t>Refinance Amortization (months)</t>
  </si>
  <si>
    <t>Refinance Interest-Only (months)</t>
  </si>
  <si>
    <t>Refinance Fees (% of new loan)</t>
  </si>
  <si>
    <t>Refinance Cap Rate</t>
  </si>
  <si>
    <t>EXIT</t>
  </si>
  <si>
    <t>Exit Month (1–120)</t>
  </si>
  <si>
    <t>Dynamic — Year = month/12</t>
  </si>
  <si>
    <t>Selling Costs (% of value)</t>
  </si>
  <si>
    <t>Exit / Disposition Fee (% of value)</t>
  </si>
  <si>
    <t>LP / GP WATERFALL</t>
  </si>
  <si>
    <t>LP Equity Share</t>
  </si>
  <si>
    <t>GP Equity Share</t>
  </si>
  <si>
    <t>Preferred Return (annual, compounded)</t>
  </si>
  <si>
    <t>GP Catch-up (% to GP)</t>
  </si>
  <si>
    <t>Promote / Carry (GP over hurdle)</t>
  </si>
  <si>
    <t>DERIVED (calculated — do not edit)</t>
  </si>
  <si>
    <t>Max Loan by LTV</t>
  </si>
  <si>
    <t>Acquisition Costs ($)</t>
  </si>
  <si>
    <t>Initial monthly rate</t>
  </si>
  <si>
    <t>Refi monthly rate</t>
  </si>
  <si>
    <t>RENT ROLL</t>
  </si>
  <si>
    <t>Unit-level detail — seeded to tie to Assumptions; edit per-unit and reconcile on Checks</t>
  </si>
  <si>
    <t>Lot ID</t>
  </si>
  <si>
    <t>Unit Type</t>
  </si>
  <si>
    <t>Status</t>
  </si>
  <si>
    <t>Current Rent
($/mo)</t>
  </si>
  <si>
    <t>Market Rent
($/mo)</t>
  </si>
  <si>
    <t>Rent
Growth</t>
  </si>
  <si>
    <t>Lease
Expiration</t>
  </si>
  <si>
    <t>Potential
Rent</t>
  </si>
  <si>
    <t>Actual
Rent</t>
  </si>
  <si>
    <t>Vacancy
Loss</t>
  </si>
  <si>
    <t>Other
Income</t>
  </si>
  <si>
    <t>Notes</t>
  </si>
  <si>
    <t>P-001</t>
  </si>
  <si>
    <t>POH</t>
  </si>
  <si>
    <t>Occupied</t>
  </si>
  <si>
    <t>MTM</t>
  </si>
  <si>
    <t>POH — home rent extra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</si>
  <si>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</si>
  <si>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</si>
  <si>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</si>
  <si>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</si>
  <si>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</si>
  <si>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</si>
  <si>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</si>
  <si>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</si>
  <si>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</si>
  <si>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</si>
  <si>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TOH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</si>
  <si>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</si>
  <si>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</si>
  <si>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</si>
  <si>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</si>
  <si>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</si>
  <si>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</si>
  <si>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</si>
  <si>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</si>
  <si>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</si>
  <si>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</si>
  <si>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</si>
  <si>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</si>
  <si>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</si>
  <si>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</si>
  <si>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</si>
  <si>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</si>
  <si>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</si>
  <si>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</si>
  <si>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</si>
  <si>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</si>
  <si>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</si>
  <si>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</si>
  <si>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</si>
  <si>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</si>
  <si>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</si>
  <si>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</si>
  <si>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</si>
  <si>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</si>
  <si>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</si>
  <si>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</si>
  <si>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</si>
  <si>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</si>
  <si>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</si>
  <si>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</si>
  <si>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</si>
  <si>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</si>
  <si>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</si>
  <si>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</si>
  <si>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</si>
  <si>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</si>
  <si>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</si>
  <si>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</si>
  <si>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</si>
  <si>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</si>
  <si>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</si>
  <si>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</si>
  <si>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</si>
  <si>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</si>
  <si>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</si>
  <si>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</si>
  <si>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Vacant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</si>
  <si>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</si>
  <si>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</si>
  <si>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</si>
  <si>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</si>
  <si>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</si>
  <si>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</si>
  <si>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</si>
  <si>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</si>
  <si>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</si>
  <si>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</si>
  <si>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</si>
  <si>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</si>
  <si>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</si>
  <si>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</si>
  <si>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</si>
  <si>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</si>
  <si>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</si>
  <si>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</si>
  <si>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</si>
  <si>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TOTALS / SUMMARY</t>
  </si>
  <si>
    <t>Total pads (count)</t>
  </si>
  <si>
    <t>Occupied pads (count)</t>
  </si>
  <si>
    <t>Avg in-place lot rent</t>
  </si>
  <si>
    <t>Monthly potential (market) rent</t>
  </si>
  <si>
    <t>REVENUE — ANNUAL</t>
  </si>
  <si>
    <t>Rolled up from the 120-month engine (green = linked to Monthly Operations)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</si>
  <si>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</si>
  <si>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</si>
  <si>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</si>
  <si>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</si>
  <si>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</si>
  <si>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</si>
  <si>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</si>
  <si>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</si>
  <si>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</si>
  <si>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</si>
  <si>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Potential Gross Rent</t>
  </si>
  <si>
    <t xml:space="preserve">  Less: Vacancy Loss</t>
  </si>
  <si>
    <t xml:space="preserve">  Less: Collection Loss</t>
  </si>
  <si>
    <t>Effective Gross Rental Revenue</t>
  </si>
  <si>
    <t>POH Home Revenue</t>
  </si>
  <si>
    <t>Other Income</t>
  </si>
  <si>
    <t>Utility Reimbursement</t>
  </si>
  <si>
    <t>EFFECTIVE GROSS REVENUE</t>
  </si>
  <si>
    <t>Occupancy % (avg, Yr-end)</t>
  </si>
  <si>
    <t>OPERATING EXPENSES — ANNUAL</t>
  </si>
  <si>
    <t>Fixed lines escalate at expense growth; management fee floats with revenue</t>
  </si>
  <si>
    <t>POH Repairs</t>
  </si>
  <si>
    <t>TOTAL OPERATING EXPENSES</t>
  </si>
  <si>
    <t>Expense Ratio (% of EGR)</t>
  </si>
  <si>
    <t>One-time infrastructure funded at close (Uses); ongoing replacement reserves run through NOI-after-CapEx</t>
  </si>
  <si>
    <t>Initial / One-time CapEx (funded at acquisition)</t>
  </si>
  <si>
    <t>Roads</t>
  </si>
  <si>
    <t>Water/Sewer Infrastructure</t>
  </si>
  <si>
    <t>Electrical</t>
  </si>
  <si>
    <t>Common-Area Improvements</t>
  </si>
  <si>
    <t>POH Renovations</t>
  </si>
  <si>
    <t>Other CapEx</t>
  </si>
  <si>
    <t>Total Initial CapEx</t>
  </si>
  <si>
    <t>Ongoing Replacement Reserves (annual)</t>
  </si>
  <si>
    <t>Replacement Reserves</t>
  </si>
  <si>
    <t>MONTHLY OPERATING MODEL</t>
  </si>
  <si>
    <t>120-month engine — all revenue, expenses, NOI &amp; CapEx. Annual sheets roll these up.</t>
  </si>
  <si>
    <t>Month #</t>
  </si>
  <si>
    <t>Year</t>
  </si>
  <si>
    <t>Period</t>
  </si>
  <si>
    <t>Occupied Pads</t>
  </si>
  <si>
    <t>Occupancy %</t>
  </si>
  <si>
    <t>Lot Rent / Pad</t>
  </si>
  <si>
    <t>Effective Gross Rental Rev</t>
  </si>
  <si>
    <t>OPERATING EXPENSES</t>
  </si>
  <si>
    <t>Management Fee</t>
  </si>
  <si>
    <t>NET OPERATING INCOME</t>
  </si>
  <si>
    <t>NOI Margin</t>
  </si>
  <si>
    <t>Capital Expenditures (reserves)</t>
  </si>
  <si>
    <t>NOI AFTER CAPEX</t>
  </si>
  <si>
    <t>Fwd 12-mo NOI (for valn)</t>
  </si>
  <si>
    <t>ACQUISITION — SOURCES &amp; USES</t>
  </si>
  <si>
    <t>Initial loan sized to the binding of LTV / DSCR / Debt-Yield tests on stabilized (Yr-3) NOI</t>
  </si>
  <si>
    <t>DEBT SIZING</t>
  </si>
  <si>
    <t>Stabilized NOI (Year 3)</t>
  </si>
  <si>
    <t>Underwriting NOI for loan sizing</t>
  </si>
  <si>
    <t>Annual Loan Constant (amortizing)</t>
  </si>
  <si>
    <t>12 × monthly PMT per $1</t>
  </si>
  <si>
    <t>Max Loan — by LTV</t>
  </si>
  <si>
    <t>Max Loan — by Debt Yield</t>
  </si>
  <si>
    <t>Max Loan — by DSCR</t>
  </si>
  <si>
    <t>INITIAL LOAN (binding)</t>
  </si>
  <si>
    <t>USES OF FUNDS</t>
  </si>
  <si>
    <t>Acquisition Costs</t>
  </si>
  <si>
    <t>Financing Fees</t>
  </si>
  <si>
    <t>Initial CapEx</t>
  </si>
  <si>
    <t>Other Uses</t>
  </si>
  <si>
    <t>TOTAL USES</t>
  </si>
  <si>
    <t>SOURCES OF FUNDS</t>
  </si>
  <si>
    <t>Other Sources</t>
  </si>
  <si>
    <t>Investor Equity (plug)</t>
  </si>
  <si>
    <t>TOTAL SOURCES</t>
  </si>
  <si>
    <t>Initial LTV (loan / price)</t>
  </si>
  <si>
    <t>Check: Sources = Uses</t>
  </si>
  <si>
    <t>DEBT SCHEDULE — MONTHLY</t>
  </si>
  <si>
    <t>Initial loan (IO then amortizing) paid off at refinance; refinance loan runs to exit. DSCR / Debt Yield / LTV tracked.</t>
  </si>
  <si>
    <t>INITIAL LOAN</t>
  </si>
  <si>
    <t>Initial — Beg Balance</t>
  </si>
  <si>
    <t>Interest</t>
  </si>
  <si>
    <t>Principal</t>
  </si>
  <si>
    <t>Debt Service</t>
  </si>
  <si>
    <t>Initial — End Balance</t>
  </si>
  <si>
    <t>REFINANCE LOAN</t>
  </si>
  <si>
    <t>Refi — Beg Balance</t>
  </si>
  <si>
    <t>Refi — End Balance</t>
  </si>
  <si>
    <t>CONSOLIDATED</t>
  </si>
  <si>
    <t>TOTAL DEBT SERVICE</t>
  </si>
  <si>
    <t>TOTAL END BALANCE</t>
  </si>
  <si>
    <t>DSCR (NOI / DS)</t>
  </si>
  <si>
    <t>Debt Yield</t>
  </si>
  <si>
    <t>LTV</t>
  </si>
  <si>
    <t>REFINANCE</t>
  </si>
  <si>
    <t>At the refi month: value on refi NOI, size the new loan, pay off the old, release cash-out.</t>
  </si>
  <si>
    <t>REFINANCE SIZING</t>
  </si>
  <si>
    <t>Refinance NOI (fwd 12-mo)</t>
  </si>
  <si>
    <t>Refinance Value</t>
  </si>
  <si>
    <t>Max New Loan — by LTV</t>
  </si>
  <si>
    <t>Max New Loan — by Debt Yield</t>
  </si>
  <si>
    <t>NEW REFINANCE LOAN</t>
  </si>
  <si>
    <t>Binding of LTV / DY / DSCR</t>
  </si>
  <si>
    <t>Less: Existing Loan Payoff</t>
  </si>
  <si>
    <t>Less: Refinance Fees</t>
  </si>
  <si>
    <t>NET REFINANCE PROCEEDS</t>
  </si>
  <si>
    <t>Cash-out result</t>
  </si>
  <si>
    <t>NOI &amp; VALUATION</t>
  </si>
  <si>
    <t>Value = NOI / Cap Rate. Going-in, stabilized, refinance and exit caps set independently on Assumptions.</t>
  </si>
  <si>
    <t>Effective Gross Revenue</t>
  </si>
  <si>
    <t>Total Operating Expenses</t>
  </si>
  <si>
    <t>Capital Expenditures</t>
  </si>
  <si>
    <t>NOI after CapEx</t>
  </si>
  <si>
    <t>VALUATION SUMMARY</t>
  </si>
  <si>
    <t>EXIT / DISPOSITION</t>
  </si>
  <si>
    <t>Forward-NOI exit value at the chosen month, net of costs, fees and debt payoff. Exit-year table below.</t>
  </si>
  <si>
    <t>EXIT AT CHOSEN MONTH</t>
  </si>
  <si>
    <t>Exit Month</t>
  </si>
  <si>
    <t>Exit Year</t>
  </si>
  <si>
    <t>Forward 12-mo NOI</t>
  </si>
  <si>
    <t>Gross Exit Value</t>
  </si>
  <si>
    <t>Less: Selling Costs</t>
  </si>
  <si>
    <t>Less: Exit / Disposition Fee</t>
  </si>
  <si>
    <t>Less: Debt Payoff at Exit</t>
  </si>
  <si>
    <t>NET SALE PROCEEDS</t>
  </si>
  <si>
    <t>EXIT-YEAR ANALYSIS (sell at end of each year)</t>
  </si>
  <si>
    <t>Fwd NOI</t>
  </si>
  <si>
    <t>Exit Cap</t>
  </si>
  <si>
    <t>Gross Value</t>
  </si>
  <si>
    <t>Selling Costs</t>
  </si>
  <si>
    <t>Debt Payoff</t>
  </si>
  <si>
    <t>Net Proceeds</t>
  </si>
  <si>
    <t>Equity CF (all yrs)</t>
  </si>
  <si>
    <t>IRR</t>
  </si>
  <si>
    <t>Equity Mult.</t>
  </si>
  <si>
    <t>Profit</t>
  </si>
  <si>
    <t>EQUITY RETURNS</t>
  </si>
  <si>
    <t>Annual levered cash flow to equity. IRR / equity multiple / cash-on-cash. Operations stop at the exit year.</t>
  </si>
  <si>
    <t>($)</t>
  </si>
  <si>
    <t>Year 0</t>
  </si>
  <si>
    <t>-</t>
  </si>
  <si>
    <t>Operating CF (levered)</t>
  </si>
  <si>
    <t>Refinance Proceeds</t>
  </si>
  <si>
    <t>Equity Contributed</t>
  </si>
  <si>
    <t>NET CASH FLOW TO EQUITY</t>
  </si>
  <si>
    <t>Cumulative CF</t>
  </si>
  <si>
    <t>RETURN METRICS</t>
  </si>
  <si>
    <t>Equity Invested</t>
  </si>
  <si>
    <t>Equity Multiple (MOIC)</t>
  </si>
  <si>
    <t>Avg Cash-on-Cash (operating)</t>
  </si>
  <si>
    <t>Hold Period (years)</t>
  </si>
  <si>
    <t>EXIT-YEAR CASH-FLOW MATRIX (row = sale year N; col = Year 0..10)</t>
  </si>
  <si>
    <t>Sale year ↓</t>
  </si>
  <si>
    <t>Y0</t>
  </si>
  <si>
    <t>EM</t>
  </si>
  <si>
    <t>LP / GP DISTRIBUTION WATERFALL</t>
  </si>
  <si>
    <t>European waterfall: preferred return (compounded), return of capital, GP catch-up, then promote split.</t>
  </si>
  <si>
    <t>Distributable CF</t>
  </si>
  <si>
    <t>Pref Accrued</t>
  </si>
  <si>
    <t>Pref Balance (unpaid)</t>
  </si>
  <si>
    <t>Tier 1: Preferred Paid</t>
  </si>
  <si>
    <t>Tier 2: Return of Capital</t>
  </si>
  <si>
    <t>Unreturned Capital</t>
  </si>
  <si>
    <t>Cum. Preferred Paid</t>
  </si>
  <si>
    <t>Tier 3: GP Catch-up</t>
  </si>
  <si>
    <t>Cum. Catch-up</t>
  </si>
  <si>
    <t>Tier 4: Residual</t>
  </si>
  <si>
    <t>SPLIT</t>
  </si>
  <si>
    <t>LP Distribution</t>
  </si>
  <si>
    <t>GP Distribution</t>
  </si>
  <si>
    <t>CASH FLOWS</t>
  </si>
  <si>
    <t>LP Net Cash Flow</t>
  </si>
  <si>
    <t>GP Net Cash Flow</t>
  </si>
  <si>
    <t>RETURNS BY PARTNER</t>
  </si>
  <si>
    <t>LP</t>
  </si>
  <si>
    <t>GP</t>
  </si>
  <si>
    <t>Total Distributions</t>
  </si>
  <si>
    <t>Capital Invested</t>
  </si>
  <si>
    <t>SENSITIVITY ANALYSIS</t>
  </si>
  <si>
    <t>One-variable levered-return sensitivities. Annual cash-flow approximation of the monthly model (holds base exit year).</t>
  </si>
  <si>
    <t>1. Purchase Price → IRR / Equity Multiple</t>
  </si>
  <si>
    <t>Price</t>
  </si>
  <si>
    <t>2. Exit Cap Rate → IRR / Equity Multiple</t>
  </si>
  <si>
    <t>3. Rent Growth → IRR</t>
  </si>
  <si>
    <t>Rent Growth</t>
  </si>
  <si>
    <t>4. Stabilized Occupancy → IRR</t>
  </si>
  <si>
    <t>5. Initial LTV → IRR</t>
  </si>
  <si>
    <t>6. Interest Rate → IRR</t>
  </si>
  <si>
    <t>Rate</t>
  </si>
  <si>
    <t>Note: annual approximation holding the base exit year; the monthly engine (Equity Returns) is the source of truth for the base case.</t>
  </si>
  <si>
    <t>SCENARIO ANALYSIS</t>
  </si>
  <si>
    <t>Downside / Base / Upside compared live. Flip the active case on Assumptions!B5; outputs below use the annual proxy (Base ties to the model).</t>
  </si>
  <si>
    <t>SCENARIO LEVERS</t>
  </si>
  <si>
    <t>DOWNSIDE</t>
  </si>
  <si>
    <t>BASE CASE</t>
  </si>
  <si>
    <t>UPSIDE</t>
  </si>
  <si>
    <t>Expense Growth</t>
  </si>
  <si>
    <t>Interest Rate</t>
  </si>
  <si>
    <t>PROJECTED RETURNS (annual proxy)</t>
  </si>
  <si>
    <t>Going-in Cap (proxy)</t>
  </si>
  <si>
    <t>Exit Value (proxy)</t>
  </si>
  <si>
    <t>Equity (proxy)</t>
  </si>
  <si>
    <t>BROKER OPINION OF VALUE (BOV)</t>
  </si>
  <si>
    <t>Marketing-style one-pager generated from the model. Replace property name / location on this tab.</t>
  </si>
  <si>
    <t>PROPERTY OVERVIEW</t>
  </si>
  <si>
    <t>PRICING</t>
  </si>
  <si>
    <t>Property Name</t>
  </si>
  <si>
    <t>[Property Name]</t>
  </si>
  <si>
    <t>Offering Price</t>
  </si>
  <si>
    <t>Location</t>
  </si>
  <si>
    <t>[City, State]</t>
  </si>
  <si>
    <t>Park-Owned Homes</t>
  </si>
  <si>
    <t>Stabilized Cap (on price)</t>
  </si>
  <si>
    <t>In-place Lot Rent</t>
  </si>
  <si>
    <t>Value @ Exit Cap</t>
  </si>
  <si>
    <t>Market Lot Rent</t>
  </si>
  <si>
    <t>Implied Rent Upside</t>
  </si>
  <si>
    <t>STABILIZED OPERATING SUMMARY (Year 3)</t>
  </si>
  <si>
    <t>Expense Ratio</t>
  </si>
  <si>
    <t>Operating Expenses</t>
  </si>
  <si>
    <t>Net Operating Income</t>
  </si>
  <si>
    <t>5-Yr Levered IRR</t>
  </si>
  <si>
    <t>AUDIT &amp; INTEGRITY CHECKS</t>
  </si>
  <si>
    <t>Every check should read OK. Any ERROR points to an input or reference that needs attention.</t>
  </si>
  <si>
    <t>CHECK</t>
  </si>
  <si>
    <t>VALUE</t>
  </si>
  <si>
    <t>STATUS</t>
  </si>
  <si>
    <t>NOTE</t>
  </si>
  <si>
    <t>Sources = Uses</t>
  </si>
  <si>
    <t>—</t>
  </si>
  <si>
    <t>Balance sheet of the deal must tie</t>
  </si>
  <si>
    <t>Total sources ($)</t>
  </si>
  <si>
    <t>Sources equal total uses</t>
  </si>
  <si>
    <t>Rent Roll — total pads</t>
  </si>
  <si>
    <t>Roll count vs Assumptions</t>
  </si>
  <si>
    <t>Rent Roll — occupied pads</t>
  </si>
  <si>
    <t>Occupied count vs Assumptions</t>
  </si>
  <si>
    <t>Rent Roll — avg in-place rent</t>
  </si>
  <si>
    <t>Blended rent vs Assumptions</t>
  </si>
  <si>
    <t>Revenue EGR = Valuation EGR (Yr1)</t>
  </si>
  <si>
    <t>Revenue sheet ties to valuation</t>
  </si>
  <si>
    <t>NOI identity  EGR+OpEx = NOI (Yr1)</t>
  </si>
  <si>
    <t>NOI build integrity</t>
  </si>
  <si>
    <t>Debt: Beg − Principal = End (all mo)</t>
  </si>
  <si>
    <t>Amortization identity, initial loan</t>
  </si>
  <si>
    <t>Refi: New − Payoff − Fees = Net</t>
  </si>
  <si>
    <t>Refinance proceeds tie</t>
  </si>
  <si>
    <t>Exit: Value − Costs − Payoff = Net</t>
  </si>
  <si>
    <t>Net sale proceeds tie</t>
  </si>
  <si>
    <t>Equity Yr0 = −Equity Invested</t>
  </si>
  <si>
    <t>Initial outflow correct</t>
  </si>
  <si>
    <t>Occupancy never exceeds pads</t>
  </si>
  <si>
    <t>Physical cap respected</t>
  </si>
  <si>
    <t>Sensitivity base ties to model IRR</t>
  </si>
  <si>
    <t>Proxy calibrated to base</t>
  </si>
  <si>
    <t>Scenario base ties to model IRR</t>
  </si>
  <si>
    <t>Base scenario calibrated</t>
  </si>
  <si>
    <t>OVERALL</t>
  </si>
  <si>
    <t xml:space="preserve">NOI </t>
  </si>
  <si>
    <t>Stabilized Physical Occupancy is the occupancy the park will achieve AFTER you finish your lease-up / infill, and it will stay there forever</t>
  </si>
  <si>
    <t>This is the industry standard for MHP. No park ever stabilizes at 100% because you always have 1-2 evictions, abandons, rehab. Institutional buyers use 90-95%. 92% is textbook.</t>
  </si>
  <si>
    <t>Exit Cap Rate = NOI at sale / Sale Price.</t>
  </si>
  <si>
    <r>
      <t xml:space="preserve">Can I change NOI to get 5% exit cap? --&gt;  </t>
    </r>
    <r>
      <rPr>
        <b/>
        <i/>
        <sz val="9"/>
        <color rgb="FF808080"/>
        <rFont val="Arial"/>
        <family val="2"/>
      </rPr>
      <t xml:space="preserve">Confusion was </t>
    </r>
    <r>
      <rPr>
        <i/>
        <sz val="9"/>
        <color rgb="FF808080"/>
        <rFont val="Arial"/>
        <family val="2"/>
      </rPr>
      <t>Cap = NOI/Price means either can change.---&gt; No we cannot change NOI. 2025 NOI is locked. At Jan 2026 sale, only Price is negotiable. Price = Fixed NOI / Target Cap.</t>
    </r>
  </si>
  <si>
    <r>
      <t>Loss-to-lease target</t>
    </r>
    <r>
      <rPr>
        <b/>
        <i/>
        <sz val="9"/>
        <color rgb="FF808080"/>
        <rFont val="Arial"/>
        <family val="2"/>
      </rPr>
      <t>.</t>
    </r>
    <r>
      <rPr>
        <i/>
        <sz val="9"/>
        <color rgb="FF808080"/>
        <rFont val="Arial"/>
        <family val="2"/>
      </rPr>
      <t xml:space="preserve"> Loss-to-Lease = Rent you COULD charge minus Rent you DO charge.</t>
    </r>
  </si>
  <si>
    <t>Do charge: $350</t>
  </si>
  <si>
    <t>Could charge: $425</t>
  </si>
  <si>
    <t>Loss: $75 / pad</t>
  </si>
  <si>
    <t xml:space="preserve"> 18 months to stabilize.</t>
  </si>
  <si>
    <t>Modeled as % of revenue, not fixed $. EGR = Effective Gross Revenue</t>
  </si>
  <si>
    <r>
      <t xml:space="preserve">DSCR = Annual NOI / </t>
    </r>
    <r>
      <rPr>
        <b/>
        <i/>
        <sz val="9"/>
        <color rgb="FF808080"/>
        <rFont val="Arial"/>
        <family val="2"/>
      </rPr>
      <t>Annual DS(Principal + Interest)</t>
    </r>
  </si>
  <si>
    <r>
      <t xml:space="preserve">Debt Yield = NOI / </t>
    </r>
    <r>
      <rPr>
        <b/>
        <i/>
        <sz val="9"/>
        <color rgb="FF808080"/>
        <rFont val="Arial"/>
        <family val="2"/>
      </rPr>
      <t>Total Loan Amount</t>
    </r>
  </si>
  <si>
    <r>
      <t xml:space="preserve">   $125k / $100k = 1.25, </t>
    </r>
    <r>
      <rPr>
        <i/>
        <sz val="9"/>
        <color rgb="FFFF0000"/>
        <rFont val="Arial"/>
        <family val="2"/>
      </rPr>
      <t>1.25x also mean 125%.</t>
    </r>
    <r>
      <rPr>
        <i/>
        <sz val="9"/>
        <color rgb="FF808080"/>
        <rFont val="Arial"/>
        <family val="2"/>
      </rPr>
      <t xml:space="preserve">means for every $1.00 of debt payment(P+I), you have $1.25 of NOI. 100k ia the annual debt wservice., not the wholeloan amount. </t>
    </r>
  </si>
  <si>
    <t>Total money to BUY the deal = Purchase Price + Closing + Lender Fees + Rehab + Initial Infills</t>
  </si>
  <si>
    <r>
      <t xml:space="preserve">   $125,000 / $1,562000 = 0.08, So 8% is minimum rate which is reqired by ban.  </t>
    </r>
    <r>
      <rPr>
        <i/>
        <sz val="9"/>
        <color rgb="FFFF0000"/>
        <rFont val="Arial"/>
        <family val="2"/>
      </rPr>
      <t xml:space="preserve">bank's panic button return. </t>
    </r>
    <r>
      <rPr>
        <i/>
        <sz val="9"/>
        <color theme="0" tint="-0.499984740745262"/>
        <rFont val="Arial"/>
        <family val="2"/>
      </rPr>
      <t>If you asked for $2.5M loan → return is only 5% (125k/2.5M) → Bank says: "5% is too low for the risk, I won't lend that much.</t>
    </r>
    <r>
      <rPr>
        <b/>
        <i/>
        <sz val="9"/>
        <color theme="0" tint="-0.499984740745262"/>
        <rFont val="Arial"/>
        <family val="2"/>
      </rPr>
      <t xml:space="preserve">Problem Statement:
</t>
    </r>
    <r>
      <rPr>
        <i/>
        <sz val="9"/>
        <color theme="0" tint="-0.499984740745262"/>
        <rFont val="Arial"/>
        <family val="2"/>
      </rPr>
      <t>We buy Jan 2026. Bank gives loan based on projected Year 3 NOI $132k at 8% Debt Yield. Actual NOI at Dec 2026 is $50k (not $85k projected). Yield drops to 5.49% below 8% benchmar.</t>
    </r>
    <r>
      <rPr>
        <b/>
        <i/>
        <sz val="9"/>
        <color theme="0" tint="-0.499984740745262"/>
        <rFont val="Arial"/>
        <family val="2"/>
      </rPr>
      <t>Answer</t>
    </r>
    <r>
      <rPr>
        <i/>
        <sz val="9"/>
        <color theme="0" tint="-0.499984740745262"/>
        <rFont val="Arial"/>
        <family val="2"/>
      </rPr>
      <t>:
Bank will not recall loan if you keep paying, but you are in technical default.DSCR 0.72x &lt; 1.25x = covenant breach. Debt Yield 5.49% &lt; 8% = covenant breach. Bank triggers cash sweep - zero distributions.Declare technical default - covenant breach. Charge extension fee 1% + higher rate</t>
    </r>
  </si>
  <si>
    <t>GP( general partner)</t>
  </si>
  <si>
    <t>LP (limited partner)</t>
  </si>
  <si>
    <t>Puts in 90% of cash, passive.</t>
  </si>
  <si>
    <t>You (does all work.</t>
  </si>
  <si>
    <t xml:space="preserve">all3 formula canbe used </t>
  </si>
  <si>
    <t>Stabilized Physical Occupancy is the occupancy the park will achieve AFTER you finish your lease-up / infill, and it will stay there forever or The max occupancy your park will ever realistically hold long-term, after you finish fixing it</t>
  </si>
  <si>
    <r>
      <t xml:space="preserve">Occupancy ramps to stabilized over this period. </t>
    </r>
    <r>
      <rPr>
        <b/>
        <i/>
        <sz val="9"/>
        <color rgb="FF808080"/>
        <rFont val="Arial"/>
        <family val="2"/>
      </rPr>
      <t>Lease-up period</t>
    </r>
    <r>
      <rPr>
        <i/>
        <sz val="9"/>
        <color rgb="FF808080"/>
        <rFont val="Arial"/>
        <family val="2"/>
      </rPr>
      <t>= Time to fill empty lots.the initial period when a newly built, renovated, or repositioned rental property actively markets and fills its vacant units to reach stable occupancy</t>
    </r>
  </si>
  <si>
    <t>.</t>
  </si>
  <si>
    <t>IF(C$23&gt;$A24,0,C7+IF(ROUNDUP(Assumptions!$B$68/12,0)=C$23,Refinance!$B$14,0)+IF(C$23=$A24,Exit!G$18,0))</t>
  </si>
  <si>
    <t>IF(1&lt;=1,C7+IF(AND(Assumptions!$B$67=1,1=(INT((Assumptions!$B$68-1)/12)+1),(INT((Assumptions!$B$68-1)/12)+1)&lt;=1),Refinance!$B$14,0)+IF(1=1,Exit!G18,0),0)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</si>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</sst>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\$#,##0;&quot;($&quot;#,##0\);\-"/>
    <numFmt numFmtId="165" formatCode="#,##0;\(#,##0\);\-"/>
    <numFmt numFmtId="166" formatCode="0.0%;\(0.0%\);\-"/>
    <numFmt numFmtId="167" formatCode="0.00\x"/>
    <numFmt numFmtId="168" formatCode="mmm\-yyyy"/>
    <numFmt numFmtId="169" formatCode="0.00%;\(0.00%\);\-"/>
    <numFmt numFmtId="170" formatCode="#,##0.0;\(#,##0.0\);\-"/>
    <numFmt numFmtId="171" formatCode="_(* #,##0_);_(* \(#,##0\);_(* &quot;-&quot;??_);_(@_)"/>
    <numFmt numFmtId="172" formatCode="0%;\(0%\);\-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808080"/>
      <name val="Arial"/>
      <family val="2"/>
    </font>
    <font>
      <sz val="8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808080"/>
      <name val="Arial"/>
      <family val="2"/>
    </font>
    <font>
      <i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9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b/>
      <i/>
      <sz val="10"/>
      <color rgb="FF808080"/>
      <name val="Arial"/>
      <family val="2"/>
    </font>
    <font>
      <i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808080"/>
      <name val="Arial"/>
      <family val="2"/>
    </font>
    <font>
      <b/>
      <sz val="11"/>
      <color theme="1"/>
      <name val="Calibri"/>
      <family val="2"/>
    </font>
    <font>
      <i/>
      <sz val="9"/>
      <color rgb="FF808080"/>
      <name val="Arial"/>
      <family val="2"/>
    </font>
    <font>
      <b/>
      <i/>
      <sz val="9"/>
      <color rgb="FF808080"/>
      <name val="Arial"/>
      <family val="2"/>
    </font>
    <font>
      <i/>
      <sz val="9"/>
      <color rgb="FFFF0000"/>
      <name val="Arial"/>
      <family val="2"/>
    </font>
    <font>
      <i/>
      <sz val="9"/>
      <color theme="0" tint="-0.499984740745262"/>
      <name val="Arial"/>
      <family val="2"/>
    </font>
    <font>
      <b/>
      <i/>
      <sz val="9"/>
      <color theme="0" tint="-0.499984740745262"/>
      <name val="Arial"/>
      <family val="2"/>
    </font>
    <font>
      <sz val="11"/>
      <color rgb="FF000000"/>
      <name val="Courier New"/>
      <family val="3"/>
    </font>
    <font>
      <i/>
      <sz val="9"/>
      <color rgb="FF000000"/>
      <name val="Arial"/>
      <family val="2"/>
    </font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4C7E"/>
      </patternFill>
    </fill>
    <fill>
      <patternFill patternType="solid">
        <fgColor rgb="FF2E4C7E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EAF0FA"/>
        <bgColor rgb="FFF2F2F2"/>
      </patternFill>
    </fill>
    <fill>
      <patternFill patternType="solid">
        <fgColor rgb="FFF2F2F2"/>
        <bgColor rgb="FFEAF0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08080"/>
      </bottom>
      <diagonal/>
    </border>
  </borders>
  <cellStyleXfs count="3">
    <xf numFmtId="0" fontId="0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/>
    <xf numFmtId="166" fontId="8" fillId="0" borderId="0" xfId="0" applyNumberFormat="1" applyFont="1"/>
    <xf numFmtId="0" fontId="5" fillId="0" borderId="0" xfId="0" applyFont="1" applyAlignment="1">
      <alignment horizontal="left" vertical="center" indent="1"/>
    </xf>
    <xf numFmtId="1" fontId="9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20" fillId="0" borderId="1" xfId="0" applyNumberFormat="1" applyFont="1" applyBorder="1"/>
    <xf numFmtId="166" fontId="20" fillId="0" borderId="1" xfId="0" applyNumberFormat="1" applyFont="1" applyBorder="1"/>
    <xf numFmtId="164" fontId="18" fillId="0" borderId="1" xfId="0" applyNumberFormat="1" applyFont="1" applyBorder="1"/>
    <xf numFmtId="0" fontId="5" fillId="5" borderId="1" xfId="0" applyFont="1" applyFill="1" applyBorder="1"/>
    <xf numFmtId="0" fontId="0" fillId="5" borderId="1" xfId="0" applyFill="1" applyBorder="1"/>
    <xf numFmtId="164" fontId="5" fillId="5" borderId="1" xfId="0" applyNumberFormat="1" applyFont="1" applyFill="1" applyBorder="1"/>
    <xf numFmtId="0" fontId="5" fillId="0" borderId="0" xfId="0" applyFont="1"/>
    <xf numFmtId="165" fontId="4" fillId="0" borderId="1" xfId="0" applyNumberFormat="1" applyFont="1" applyBorder="1"/>
    <xf numFmtId="164" fontId="4" fillId="0" borderId="1" xfId="0" applyNumberFormat="1" applyFont="1" applyBorder="1"/>
    <xf numFmtId="0" fontId="17" fillId="3" borderId="1" xfId="0" applyFont="1" applyFill="1" applyBorder="1" applyAlignment="1">
      <alignment horizontal="center" vertical="center"/>
    </xf>
    <xf numFmtId="164" fontId="20" fillId="0" borderId="2" xfId="0" applyNumberFormat="1" applyFont="1" applyBorder="1"/>
    <xf numFmtId="0" fontId="4" fillId="0" borderId="0" xfId="0" applyFont="1" applyAlignment="1">
      <alignment horizontal="left" vertical="center" indent="2"/>
    </xf>
    <xf numFmtId="0" fontId="5" fillId="6" borderId="0" xfId="0" applyFont="1" applyFill="1" applyAlignment="1">
      <alignment horizontal="left" vertical="center" indent="1"/>
    </xf>
    <xf numFmtId="164" fontId="21" fillId="6" borderId="2" xfId="0" applyNumberFormat="1" applyFont="1" applyFill="1" applyBorder="1"/>
    <xf numFmtId="0" fontId="5" fillId="5" borderId="0" xfId="0" applyFont="1" applyFill="1" applyAlignment="1">
      <alignment horizontal="left" vertical="center" indent="1"/>
    </xf>
    <xf numFmtId="164" fontId="21" fillId="5" borderId="2" xfId="0" applyNumberFormat="1" applyFont="1" applyFill="1" applyBorder="1"/>
    <xf numFmtId="166" fontId="20" fillId="0" borderId="2" xfId="0" applyNumberFormat="1" applyFont="1" applyBorder="1"/>
    <xf numFmtId="166" fontId="18" fillId="0" borderId="2" xfId="0" applyNumberFormat="1" applyFont="1" applyBorder="1"/>
    <xf numFmtId="164" fontId="15" fillId="0" borderId="2" xfId="0" applyNumberFormat="1" applyFont="1" applyBorder="1"/>
    <xf numFmtId="1" fontId="13" fillId="7" borderId="0" xfId="0" applyNumberFormat="1" applyFont="1" applyFill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70" fontId="18" fillId="0" borderId="0" xfId="0" applyNumberFormat="1" applyFont="1"/>
    <xf numFmtId="166" fontId="18" fillId="0" borderId="0" xfId="0" applyNumberFormat="1" applyFont="1"/>
    <xf numFmtId="164" fontId="18" fillId="0" borderId="0" xfId="0" applyNumberFormat="1" applyFont="1"/>
    <xf numFmtId="164" fontId="13" fillId="6" borderId="0" xfId="0" applyNumberFormat="1" applyFont="1" applyFill="1"/>
    <xf numFmtId="0" fontId="3" fillId="3" borderId="0" xfId="0" applyFont="1" applyFill="1" applyAlignment="1">
      <alignment vertical="center" indent="1"/>
    </xf>
    <xf numFmtId="164" fontId="13" fillId="0" borderId="0" xfId="0" applyNumberFormat="1" applyFont="1"/>
    <xf numFmtId="164" fontId="15" fillId="0" borderId="1" xfId="0" applyNumberFormat="1" applyFont="1" applyBorder="1"/>
    <xf numFmtId="169" fontId="15" fillId="0" borderId="1" xfId="0" applyNumberFormat="1" applyFont="1" applyBorder="1"/>
    <xf numFmtId="164" fontId="5" fillId="4" borderId="1" xfId="0" applyNumberFormat="1" applyFont="1" applyFill="1" applyBorder="1"/>
    <xf numFmtId="164" fontId="14" fillId="0" borderId="1" xfId="0" applyNumberFormat="1" applyFont="1" applyBorder="1"/>
    <xf numFmtId="166" fontId="16" fillId="0" borderId="1" xfId="0" applyNumberFormat="1" applyFont="1" applyBorder="1"/>
    <xf numFmtId="0" fontId="16" fillId="0" borderId="1" xfId="0" applyFont="1" applyBorder="1" applyAlignment="1">
      <alignment horizontal="center"/>
    </xf>
    <xf numFmtId="0" fontId="3" fillId="3" borderId="0" xfId="0" applyFont="1" applyFill="1"/>
    <xf numFmtId="167" fontId="18" fillId="0" borderId="0" xfId="0" applyNumberFormat="1" applyFont="1"/>
    <xf numFmtId="165" fontId="15" fillId="0" borderId="1" xfId="0" applyNumberFormat="1" applyFont="1" applyBorder="1"/>
    <xf numFmtId="166" fontId="15" fillId="0" borderId="1" xfId="0" applyNumberFormat="1" applyFont="1" applyBorder="1"/>
    <xf numFmtId="164" fontId="5" fillId="6" borderId="1" xfId="0" applyNumberFormat="1" applyFont="1" applyFill="1" applyBorder="1"/>
    <xf numFmtId="164" fontId="21" fillId="0" borderId="2" xfId="0" applyNumberFormat="1" applyFont="1" applyBorder="1"/>
    <xf numFmtId="164" fontId="16" fillId="0" borderId="1" xfId="0" applyNumberFormat="1" applyFont="1" applyBorder="1"/>
    <xf numFmtId="166" fontId="5" fillId="4" borderId="1" xfId="0" applyNumberFormat="1" applyFont="1" applyFill="1" applyBorder="1"/>
    <xf numFmtId="165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/>
    <xf numFmtId="164" fontId="13" fillId="0" borderId="1" xfId="0" applyNumberFormat="1" applyFont="1" applyBorder="1"/>
    <xf numFmtId="167" fontId="20" fillId="0" borderId="1" xfId="0" applyNumberFormat="1" applyFont="1" applyBorder="1"/>
    <xf numFmtId="0" fontId="22" fillId="0" borderId="0" xfId="0" applyFont="1"/>
    <xf numFmtId="0" fontId="18" fillId="0" borderId="0" xfId="0" applyFont="1" applyAlignment="1">
      <alignment horizontal="center" vertical="center"/>
    </xf>
    <xf numFmtId="164" fontId="20" fillId="0" borderId="0" xfId="0" applyNumberFormat="1" applyFont="1"/>
    <xf numFmtId="164" fontId="23" fillId="0" borderId="0" xfId="0" applyNumberFormat="1" applyFont="1"/>
    <xf numFmtId="164" fontId="5" fillId="0" borderId="1" xfId="0" applyNumberFormat="1" applyFont="1" applyBorder="1"/>
    <xf numFmtId="167" fontId="5" fillId="4" borderId="1" xfId="0" applyNumberFormat="1" applyFont="1" applyFill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0" fontId="24" fillId="5" borderId="1" xfId="0" applyFont="1" applyFill="1" applyBorder="1" applyAlignment="1">
      <alignment horizontal="center" vertical="center"/>
    </xf>
    <xf numFmtId="164" fontId="8" fillId="0" borderId="2" xfId="0" applyNumberFormat="1" applyFont="1" applyBorder="1"/>
    <xf numFmtId="164" fontId="4" fillId="0" borderId="2" xfId="0" applyNumberFormat="1" applyFont="1" applyBorder="1"/>
    <xf numFmtId="166" fontId="8" fillId="0" borderId="2" xfId="0" applyNumberFormat="1" applyFont="1" applyBorder="1"/>
    <xf numFmtId="167" fontId="8" fillId="0" borderId="2" xfId="0" applyNumberFormat="1" applyFont="1" applyBorder="1"/>
    <xf numFmtId="0" fontId="5" fillId="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/>
    <xf numFmtId="167" fontId="13" fillId="0" borderId="1" xfId="0" applyNumberFormat="1" applyFont="1" applyBorder="1"/>
    <xf numFmtId="166" fontId="20" fillId="0" borderId="1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167" fontId="13" fillId="4" borderId="1" xfId="0" applyNumberFormat="1" applyFont="1" applyFill="1" applyBorder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14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/>
    <xf numFmtId="164" fontId="18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3" fillId="3" borderId="0" xfId="0" applyFont="1" applyFill="1" applyBorder="1" applyAlignment="1">
      <alignment vertical="center"/>
    </xf>
    <xf numFmtId="0" fontId="27" fillId="0" borderId="0" xfId="0" applyFont="1"/>
    <xf numFmtId="0" fontId="0" fillId="0" borderId="0" xfId="0" applyAlignment="1">
      <alignment wrapText="1"/>
    </xf>
    <xf numFmtId="0" fontId="27" fillId="0" borderId="0" xfId="0" applyFont="1" applyAlignment="1"/>
    <xf numFmtId="0" fontId="32" fillId="0" borderId="0" xfId="0" applyFont="1"/>
    <xf numFmtId="166" fontId="33" fillId="0" borderId="2" xfId="0" applyNumberFormat="1" applyFont="1" applyBorder="1"/>
    <xf numFmtId="9" fontId="18" fillId="0" borderId="0" xfId="2" applyFont="1"/>
    <xf numFmtId="9" fontId="0" fillId="0" borderId="0" xfId="2" applyFont="1"/>
    <xf numFmtId="171" fontId="0" fillId="0" borderId="0" xfId="1" applyNumberFormat="1" applyFont="1"/>
    <xf numFmtId="171" fontId="26" fillId="0" borderId="0" xfId="0" applyNumberFormat="1" applyFont="1"/>
    <xf numFmtId="0" fontId="0" fillId="0" borderId="0" xfId="0" applyFill="1" applyBorder="1"/>
    <xf numFmtId="10" fontId="0" fillId="0" borderId="0" xfId="0" applyNumberFormat="1"/>
    <xf numFmtId="172" fontId="9" fillId="0" borderId="1" xfId="0" applyNumberFormat="1" applyFont="1" applyBorder="1" applyAlignment="1">
      <alignment horizontal="center" vertical="center"/>
    </xf>
    <xf numFmtId="0" fontId="35" fillId="0" borderId="0" xfId="0" applyFont="1"/>
    <xf numFmtId="0" fontId="0" fillId="0" borderId="0" xfId="0" applyBorder="1"/>
    <xf numFmtId="0" fontId="36" fillId="0" borderId="0" xfId="0" applyFont="1" applyBorder="1"/>
    <xf numFmtId="0" fontId="3" fillId="3" borderId="0" xfId="0" applyFont="1" applyFill="1" applyBorder="1" applyAlignment="1">
      <alignment vertical="center" inden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1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vertical="center" indent="1"/>
    </xf>
    <xf numFmtId="0" fontId="3" fillId="3" borderId="0" xfId="0" applyFont="1" applyFill="1" applyBorder="1" applyAlignment="1">
      <alignment horizontal="left" vertical="center" indent="1"/>
    </xf>
    <xf numFmtId="0" fontId="10" fillId="0" borderId="0" xfId="0" applyFont="1" applyBorder="1"/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1F2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2E4C7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NOI &amp; EGR Growth ($/yr)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'Investment Summary'!$B$40:$K$40</c:f>
              <c:strCache>
                <c:ptCount val="10"/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  <c:pt idx="6">
                  <c:v>Y6</c:v>
                </c:pt>
                <c:pt idx="7">
                  <c:v>Y7</c:v>
                </c:pt>
                <c:pt idx="8">
                  <c:v>Y8</c:v>
                </c:pt>
                <c:pt idx="9">
                  <c:v>Y9</c:v>
                </c:pt>
              </c:strCache>
            </c:strRef>
          </c:cat>
          <c:val>
            <c:numRef>
              <c:f>'Investment Summary'!$B$41:$K$41</c:f>
              <c:numCache>
                <c:formatCode>\$#,##0;"($"#,##0\);\-</c:formatCode>
                <c:ptCount val="10"/>
                <c:pt idx="1">
                  <c:v>330763.06666666677</c:v>
                </c:pt>
                <c:pt idx="2">
                  <c:v>377116.46066666662</c:v>
                </c:pt>
                <c:pt idx="3">
                  <c:v>392925.23712000001</c:v>
                </c:pt>
                <c:pt idx="4">
                  <c:v>404620.20303359994</c:v>
                </c:pt>
                <c:pt idx="5">
                  <c:v>416663.698144608</c:v>
                </c:pt>
                <c:pt idx="6">
                  <c:v>429066.12033444626</c:v>
                </c:pt>
                <c:pt idx="7">
                  <c:v>441838.17797111714</c:v>
                </c:pt>
                <c:pt idx="8">
                  <c:v>454990.89918755437</c:v>
                </c:pt>
                <c:pt idx="9">
                  <c:v>468535.64143741672</c:v>
                </c:pt>
              </c:numCache>
            </c:numRef>
          </c:val>
          <c:smooth val="1"/>
        </c:ser>
        <c:ser>
          <c:idx val="1"/>
          <c:order val="1"/>
          <c:spPr>
            <a:ln w="201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'Investment Summary'!$B$40:$K$40</c:f>
              <c:strCache>
                <c:ptCount val="10"/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  <c:pt idx="6">
                  <c:v>Y6</c:v>
                </c:pt>
                <c:pt idx="7">
                  <c:v>Y7</c:v>
                </c:pt>
                <c:pt idx="8">
                  <c:v>Y8</c:v>
                </c:pt>
                <c:pt idx="9">
                  <c:v>Y9</c:v>
                </c:pt>
              </c:strCache>
            </c:strRef>
          </c:cat>
          <c:val>
            <c:numRef>
              <c:f>'Investment Summary'!$B$42:$K$42</c:f>
              <c:numCache>
                <c:formatCode>\$#,##0;"($"#,##0\);\-</c:formatCode>
                <c:ptCount val="10"/>
                <c:pt idx="1">
                  <c:v>85224.91333333333</c:v>
                </c:pt>
                <c:pt idx="2">
                  <c:v>123535.63763333336</c:v>
                </c:pt>
                <c:pt idx="3">
                  <c:v>132685.85026400004</c:v>
                </c:pt>
                <c:pt idx="4">
                  <c:v>137781.23975692008</c:v>
                </c:pt>
                <c:pt idx="5">
                  <c:v>143057.36128425266</c:v>
                </c:pt>
                <c:pt idx="6">
                  <c:v>148520.33356577094</c:v>
                </c:pt>
                <c:pt idx="7">
                  <c:v>154176.47630180957</c:v>
                </c:pt>
                <c:pt idx="8">
                  <c:v>160032.31663815593</c:v>
                </c:pt>
                <c:pt idx="9">
                  <c:v>166094.59583577473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4661312"/>
        <c:axId val="894671104"/>
      </c:lineChart>
      <c:catAx>
        <c:axId val="89466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71104"/>
        <c:crosses val="autoZero"/>
        <c:auto val="1"/>
        <c:lblAlgn val="ctr"/>
        <c:lblOffset val="100"/>
        <c:noMultiLvlLbl val="0"/>
      </c:catAx>
      <c:valAx>
        <c:axId val="894671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1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Occupancy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'Investment Summary'!$B$40:$K$40</c:f>
              <c:strCache>
                <c:ptCount val="10"/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  <c:pt idx="6">
                  <c:v>Y6</c:v>
                </c:pt>
                <c:pt idx="7">
                  <c:v>Y7</c:v>
                </c:pt>
                <c:pt idx="8">
                  <c:v>Y8</c:v>
                </c:pt>
                <c:pt idx="9">
                  <c:v>Y9</c:v>
                </c:pt>
              </c:strCache>
            </c:strRef>
          </c:cat>
          <c:val>
            <c:numRef>
              <c:f>'Investment Summary'!$B$43:$K$43</c:f>
              <c:numCache>
                <c:formatCode>0.0%;\(0.0%\);\-</c:formatCode>
                <c:ptCount val="10"/>
                <c:pt idx="1">
                  <c:v>0.86333333333333351</c:v>
                </c:pt>
                <c:pt idx="2">
                  <c:v>0.92000000000000015</c:v>
                </c:pt>
                <c:pt idx="3">
                  <c:v>0.92000000000000015</c:v>
                </c:pt>
                <c:pt idx="4">
                  <c:v>0.92000000000000015</c:v>
                </c:pt>
                <c:pt idx="5">
                  <c:v>0.92000000000000015</c:v>
                </c:pt>
                <c:pt idx="6">
                  <c:v>0.92000000000000015</c:v>
                </c:pt>
                <c:pt idx="7">
                  <c:v>0.92000000000000015</c:v>
                </c:pt>
                <c:pt idx="8">
                  <c:v>0.92000000000000015</c:v>
                </c:pt>
                <c:pt idx="9">
                  <c:v>0.92000000000000015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4673280"/>
        <c:axId val="894661856"/>
      </c:lineChart>
      <c:catAx>
        <c:axId val="8946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1856"/>
        <c:crosses val="autoZero"/>
        <c:auto val="1"/>
        <c:lblAlgn val="ctr"/>
        <c:lblOffset val="100"/>
        <c:noMultiLvlLbl val="0"/>
      </c:catAx>
      <c:valAx>
        <c:axId val="894661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73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Debt Balance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'Investment Summary'!$B$40:$K$40</c:f>
              <c:strCache>
                <c:ptCount val="10"/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  <c:pt idx="6">
                  <c:v>Y6</c:v>
                </c:pt>
                <c:pt idx="7">
                  <c:v>Y7</c:v>
                </c:pt>
                <c:pt idx="8">
                  <c:v>Y8</c:v>
                </c:pt>
                <c:pt idx="9">
                  <c:v>Y9</c:v>
                </c:pt>
              </c:strCache>
            </c:strRef>
          </c:cat>
          <c:val>
            <c:numRef>
              <c:f>'Investment Summary'!$B$44:$K$44</c:f>
              <c:numCache>
                <c:formatCode>\$#,##0;"($"#,##0\);\-</c:formatCode>
                <c:ptCount val="10"/>
                <c:pt idx="1">
                  <c:v>910000</c:v>
                </c:pt>
                <c:pt idx="2">
                  <c:v>910000</c:v>
                </c:pt>
                <c:pt idx="3">
                  <c:v>1530525.1966224907</c:v>
                </c:pt>
                <c:pt idx="4">
                  <c:v>1511617.3699645177</c:v>
                </c:pt>
                <c:pt idx="5">
                  <c:v>1491543.3499311679</c:v>
                </c:pt>
                <c:pt idx="6">
                  <c:v>1470231.2082668371</c:v>
                </c:pt>
                <c:pt idx="7">
                  <c:v>1447604.5803385039</c:v>
                </c:pt>
                <c:pt idx="8">
                  <c:v>1423582.3915096791</c:v>
                </c:pt>
                <c:pt idx="9">
                  <c:v>1398078.5666376969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4662400"/>
        <c:axId val="894664576"/>
      </c:lineChart>
      <c:catAx>
        <c:axId val="8946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4576"/>
        <c:crosses val="autoZero"/>
        <c:auto val="1"/>
        <c:lblAlgn val="ctr"/>
        <c:lblOffset val="100"/>
        <c:noMultiLvlLbl val="0"/>
      </c:catAx>
      <c:valAx>
        <c:axId val="894664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2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Levered IRR by Exit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'Investment Summary'!$B$40:$K$40</c:f>
              <c:strCache>
                <c:ptCount val="10"/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  <c:pt idx="6">
                  <c:v>Y6</c:v>
                </c:pt>
                <c:pt idx="7">
                  <c:v>Y7</c:v>
                </c:pt>
                <c:pt idx="8">
                  <c:v>Y8</c:v>
                </c:pt>
                <c:pt idx="9">
                  <c:v>Y9</c:v>
                </c:pt>
              </c:strCache>
            </c:strRef>
          </c:cat>
          <c:val>
            <c:numRef>
              <c:f>'Investment Summary'!$B$46:$K$46</c:f>
              <c:numCache>
                <c:formatCode>0.0%;\(0.0%\);\-</c:formatCode>
                <c:ptCount val="10"/>
                <c:pt idx="1">
                  <c:v>0.56074196594584702</c:v>
                </c:pt>
                <c:pt idx="2">
                  <c:v>0.37852234224566184</c:v>
                </c:pt>
                <c:pt idx="3">
                  <c:v>0.29094732124649836</c:v>
                </c:pt>
                <c:pt idx="4">
                  <c:v>0.28458014255543396</c:v>
                </c:pt>
                <c:pt idx="5">
                  <c:v>0.27741656061743103</c:v>
                </c:pt>
                <c:pt idx="6">
                  <c:v>0.27033932522049309</c:v>
                </c:pt>
                <c:pt idx="7">
                  <c:v>0.26369183679454222</c:v>
                </c:pt>
                <c:pt idx="8">
                  <c:v>0.25758923667805944</c:v>
                </c:pt>
                <c:pt idx="9">
                  <c:v>0.25204830424312918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666752"/>
        <c:axId val="894665664"/>
      </c:barChart>
      <c:catAx>
        <c:axId val="8946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5664"/>
        <c:crosses val="autoZero"/>
        <c:auto val="1"/>
        <c:lblAlgn val="ctr"/>
        <c:lblOffset val="100"/>
        <c:noMultiLvlLbl val="0"/>
      </c:catAx>
      <c:valAx>
        <c:axId val="894665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666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9</xdr:col>
      <xdr:colOff>90720</xdr:colOff>
      <xdr:row>15</xdr:row>
      <xdr:rowOff>53640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9</xdr:col>
      <xdr:colOff>90720</xdr:colOff>
      <xdr:row>29</xdr:row>
      <xdr:rowOff>53640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31</xdr:row>
      <xdr:rowOff>0</xdr:rowOff>
    </xdr:from>
    <xdr:to>
      <xdr:col>9</xdr:col>
      <xdr:colOff>90720</xdr:colOff>
      <xdr:row>43</xdr:row>
      <xdr:rowOff>53640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45</xdr:row>
      <xdr:rowOff>0</xdr:rowOff>
    </xdr:from>
    <xdr:to>
      <xdr:col>9</xdr:col>
      <xdr:colOff>90720</xdr:colOff>
      <xdr:row>57</xdr:row>
      <xdr:rowOff>53640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showGridLines="0" zoomScaleNormal="100" workbookViewId="0">
      <selection sqref="A1:M1"/>
    </sheetView>
  </sheetViews>
  <sheetFormatPr defaultColWidth="8.7109375" defaultRowHeight="15" x14ac:dyDescent="0.25"/>
  <cols>
    <col min="1" max="1" width="30" customWidth="1"/>
    <col min="2" max="2" width="16" customWidth="1"/>
    <col min="3" max="3" width="3" customWidth="1"/>
    <col min="4" max="13" width="10" customWidth="1"/>
  </cols>
  <sheetData>
    <row r="1" spans="1:13" ht="24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13.5" customHeight="1" x14ac:dyDescent="0.25">
      <c r="A2" s="142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4" spans="1:13" x14ac:dyDescent="0.25">
      <c r="A4" s="143" t="s">
        <v>2</v>
      </c>
      <c r="B4" s="143"/>
    </row>
    <row r="5" spans="1:13" x14ac:dyDescent="0.25">
      <c r="A5" s="1" t="s">
        <v>3</v>
      </c>
      <c r="B5" s="2">
        <f>Assumptions!$B$8</f>
        <v>1300000</v>
      </c>
    </row>
    <row r="6" spans="1:13" x14ac:dyDescent="0.25">
      <c r="A6" s="1" t="s">
        <v>4</v>
      </c>
      <c r="B6" s="2">
        <f>Valuation!B17</f>
        <v>16250</v>
      </c>
    </row>
    <row r="7" spans="1:13" x14ac:dyDescent="0.25">
      <c r="A7" s="1" t="s">
        <v>5</v>
      </c>
      <c r="B7" s="3">
        <f>Assumptions!$B$16</f>
        <v>80</v>
      </c>
    </row>
    <row r="8" spans="1:13" x14ac:dyDescent="0.25">
      <c r="A8" s="1" t="s">
        <v>6</v>
      </c>
      <c r="B8" s="4">
        <f>Assumptions!$B$17/Assumptions!$B$16</f>
        <v>0.75</v>
      </c>
    </row>
    <row r="9" spans="1:13" x14ac:dyDescent="0.25">
      <c r="A9" s="1" t="s">
        <v>7</v>
      </c>
      <c r="B9" s="4">
        <f>Assumptions!$B$9</f>
        <v>0.92</v>
      </c>
    </row>
    <row r="10" spans="1:13" x14ac:dyDescent="0.25">
      <c r="A10" s="1" t="s">
        <v>8</v>
      </c>
      <c r="B10" s="5">
        <f>Valuation!B15</f>
        <v>6.5557625641025644E-2</v>
      </c>
    </row>
    <row r="11" spans="1:13" x14ac:dyDescent="0.25">
      <c r="A11" s="1" t="s">
        <v>9</v>
      </c>
      <c r="B11" s="2">
        <f>Valuation!B14</f>
        <v>85224.91333333333</v>
      </c>
    </row>
    <row r="12" spans="1:13" x14ac:dyDescent="0.25">
      <c r="A12" s="1" t="s">
        <v>10</v>
      </c>
      <c r="B12" s="2">
        <f>Valuation!B16</f>
        <v>132685.85026400004</v>
      </c>
    </row>
    <row r="13" spans="1:13" x14ac:dyDescent="0.25">
      <c r="A13" s="1" t="s">
        <v>11</v>
      </c>
      <c r="B13" s="2">
        <f>Acquisition!$B$10</f>
        <v>910000</v>
      </c>
    </row>
    <row r="14" spans="1:13" x14ac:dyDescent="0.25">
      <c r="A14" s="1" t="s">
        <v>12</v>
      </c>
      <c r="B14" s="4">
        <f>Acquisition!B26</f>
        <v>0.7</v>
      </c>
    </row>
    <row r="15" spans="1:13" x14ac:dyDescent="0.25">
      <c r="A15" s="1" t="s">
        <v>13</v>
      </c>
      <c r="B15" s="6">
        <f>Acquisition!$B$23</f>
        <v>600100</v>
      </c>
    </row>
    <row r="16" spans="1:13" x14ac:dyDescent="0.25">
      <c r="A16" s="1" t="s">
        <v>14</v>
      </c>
      <c r="B16" s="2">
        <f>Refinance!$B$14</f>
        <v>616028.1409112009</v>
      </c>
    </row>
    <row r="17" spans="1:2" x14ac:dyDescent="0.25">
      <c r="A17" s="1" t="s">
        <v>15</v>
      </c>
      <c r="B17" s="2">
        <f>Exit!B9</f>
        <v>2284928.2087041684</v>
      </c>
    </row>
    <row r="18" spans="1:2" x14ac:dyDescent="0.25">
      <c r="A18" s="1" t="s">
        <v>16</v>
      </c>
      <c r="B18" s="2">
        <f>Exit!$B$13</f>
        <v>701987.73042483395</v>
      </c>
    </row>
    <row r="20" spans="1:2" x14ac:dyDescent="0.25">
      <c r="A20" s="143" t="s">
        <v>17</v>
      </c>
      <c r="B20" s="143"/>
    </row>
    <row r="21" spans="1:2" x14ac:dyDescent="0.25">
      <c r="A21" s="1" t="s">
        <v>18</v>
      </c>
      <c r="B21" s="5">
        <f>'Equity Returns'!B16</f>
        <v>0.27741656061743103</v>
      </c>
    </row>
    <row r="22" spans="1:2" x14ac:dyDescent="0.25">
      <c r="A22" s="1" t="s">
        <v>19</v>
      </c>
      <c r="B22" s="7">
        <f>'Equity Returns'!B17</f>
        <v>2.5130314127626425</v>
      </c>
    </row>
    <row r="23" spans="1:2" x14ac:dyDescent="0.25">
      <c r="A23" s="1" t="s">
        <v>20</v>
      </c>
      <c r="B23" s="4">
        <f>'Equity Returns'!B19</f>
        <v>6.9377621383023655E-2</v>
      </c>
    </row>
    <row r="24" spans="1:2" x14ac:dyDescent="0.25">
      <c r="A24" s="1" t="s">
        <v>21</v>
      </c>
      <c r="B24" s="2">
        <f>'Equity Returns'!B18</f>
        <v>907970.15079886187</v>
      </c>
    </row>
    <row r="25" spans="1:2" x14ac:dyDescent="0.25">
      <c r="A25" s="1" t="s">
        <v>22</v>
      </c>
      <c r="B25" s="3">
        <f>Exit!B6</f>
        <v>5</v>
      </c>
    </row>
    <row r="26" spans="1:2" x14ac:dyDescent="0.25">
      <c r="A26" s="1" t="s">
        <v>23</v>
      </c>
      <c r="B26" s="4">
        <f>'LP GP Waterfall'!B23</f>
        <v>0.25405811399988143</v>
      </c>
    </row>
    <row r="27" spans="1:2" x14ac:dyDescent="0.25">
      <c r="A27" s="1" t="s">
        <v>24</v>
      </c>
      <c r="B27" s="8">
        <f>'LP GP Waterfall'!B24</f>
        <v>2.3182501446779047</v>
      </c>
    </row>
    <row r="40" spans="1:12" x14ac:dyDescent="0.25">
      <c r="A40" s="9" t="s">
        <v>25</v>
      </c>
      <c r="C40" s="10" t="s">
        <v>26</v>
      </c>
      <c r="D40" s="10" t="s">
        <v>27</v>
      </c>
      <c r="E40" s="10" t="s">
        <v>28</v>
      </c>
      <c r="F40" s="10" t="s">
        <v>29</v>
      </c>
      <c r="G40" s="10" t="s">
        <v>30</v>
      </c>
      <c r="H40" s="10" t="s">
        <v>31</v>
      </c>
      <c r="I40" s="10" t="s">
        <v>32</v>
      </c>
      <c r="J40" s="10" t="s">
        <v>33</v>
      </c>
      <c r="K40" s="10" t="s">
        <v>34</v>
      </c>
      <c r="L40" s="10" t="s">
        <v>35</v>
      </c>
    </row>
    <row r="41" spans="1:12" x14ac:dyDescent="0.25">
      <c r="A41" s="11" t="s">
        <v>36</v>
      </c>
      <c r="C41" s="12">
        <f>Valuation!C5</f>
        <v>330763.06666666677</v>
      </c>
      <c r="D41" s="12">
        <f>Valuation!D5</f>
        <v>377116.46066666662</v>
      </c>
      <c r="E41" s="12">
        <f>Valuation!E5</f>
        <v>392925.23712000001</v>
      </c>
      <c r="F41" s="12">
        <f>Valuation!F5</f>
        <v>404620.20303359994</v>
      </c>
      <c r="G41" s="12">
        <f>Valuation!G5</f>
        <v>416663.698144608</v>
      </c>
      <c r="H41" s="12">
        <f>Valuation!H5</f>
        <v>429066.12033444626</v>
      </c>
      <c r="I41" s="12">
        <f>Valuation!I5</f>
        <v>441838.17797111714</v>
      </c>
      <c r="J41" s="12">
        <f>Valuation!J5</f>
        <v>454990.89918755437</v>
      </c>
      <c r="K41" s="12">
        <f>Valuation!K5</f>
        <v>468535.64143741672</v>
      </c>
      <c r="L41" s="12">
        <f>Valuation!L5</f>
        <v>482484.10133663105</v>
      </c>
    </row>
    <row r="42" spans="1:12" x14ac:dyDescent="0.25">
      <c r="A42" s="11" t="s">
        <v>37</v>
      </c>
      <c r="C42" s="12">
        <f>Valuation!C7</f>
        <v>85224.91333333333</v>
      </c>
      <c r="D42" s="12">
        <f>Valuation!D7</f>
        <v>123535.63763333336</v>
      </c>
      <c r="E42" s="12">
        <f>Valuation!E7</f>
        <v>132685.85026400004</v>
      </c>
      <c r="F42" s="12">
        <f>Valuation!F7</f>
        <v>137781.23975692008</v>
      </c>
      <c r="G42" s="12">
        <f>Valuation!G7</f>
        <v>143057.36128425266</v>
      </c>
      <c r="H42" s="12">
        <f>Valuation!H7</f>
        <v>148520.33356577094</v>
      </c>
      <c r="I42" s="12">
        <f>Valuation!I7</f>
        <v>154176.47630180957</v>
      </c>
      <c r="J42" s="12">
        <f>Valuation!J7</f>
        <v>160032.31663815593</v>
      </c>
      <c r="K42" s="12">
        <f>Valuation!K7</f>
        <v>166094.59583577473</v>
      </c>
      <c r="L42" s="12">
        <f>Valuation!L7</f>
        <v>172370.27615178411</v>
      </c>
    </row>
    <row r="43" spans="1:12" x14ac:dyDescent="0.25">
      <c r="A43" s="11" t="s">
        <v>38</v>
      </c>
      <c r="C43" s="13">
        <f>Revenue!C14</f>
        <v>0.86333333333333351</v>
      </c>
      <c r="D43" s="13">
        <f>Revenue!D14</f>
        <v>0.92000000000000015</v>
      </c>
      <c r="E43" s="13">
        <f>Revenue!E14</f>
        <v>0.92000000000000015</v>
      </c>
      <c r="F43" s="13">
        <f>Revenue!F14</f>
        <v>0.92000000000000015</v>
      </c>
      <c r="G43" s="13">
        <f>Revenue!G14</f>
        <v>0.92000000000000015</v>
      </c>
      <c r="H43" s="13">
        <f>Revenue!H14</f>
        <v>0.92000000000000015</v>
      </c>
      <c r="I43" s="13">
        <f>Revenue!I14</f>
        <v>0.92000000000000015</v>
      </c>
      <c r="J43" s="13">
        <f>Revenue!J14</f>
        <v>0.92000000000000015</v>
      </c>
      <c r="K43" s="13">
        <f>Revenue!K14</f>
        <v>0.92000000000000015</v>
      </c>
      <c r="L43" s="13">
        <f>Revenue!L14</f>
        <v>0.92000000000000015</v>
      </c>
    </row>
    <row r="44" spans="1:12" x14ac:dyDescent="0.25">
      <c r="A44" s="11" t="s">
        <v>39</v>
      </c>
      <c r="C44" s="12">
        <f>INDEX('Debt Schedule'!D19:DS19,1,1*12)</f>
        <v>910000</v>
      </c>
      <c r="D44" s="12">
        <f>INDEX('Debt Schedule'!D19:DS19,1,2*12)</f>
        <v>910000</v>
      </c>
      <c r="E44" s="12">
        <f>INDEX('Debt Schedule'!D19:DS19,1,3*12)</f>
        <v>1530525.1966224907</v>
      </c>
      <c r="F44" s="12">
        <f>INDEX('Debt Schedule'!D19:DS19,1,4*12)</f>
        <v>1511617.3699645177</v>
      </c>
      <c r="G44" s="12">
        <f>INDEX('Debt Schedule'!D19:DS19,1,5*12)</f>
        <v>1491543.3499311679</v>
      </c>
      <c r="H44" s="12">
        <f>INDEX('Debt Schedule'!D19:DS19,1,6*12)</f>
        <v>1470231.2082668371</v>
      </c>
      <c r="I44" s="12">
        <f>INDEX('Debt Schedule'!D19:DS19,1,7*12)</f>
        <v>1447604.5803385039</v>
      </c>
      <c r="J44" s="12">
        <f>INDEX('Debt Schedule'!D19:DS19,1,8*12)</f>
        <v>1423582.3915096791</v>
      </c>
      <c r="K44" s="12">
        <f>INDEX('Debt Schedule'!D19:DS19,1,9*12)</f>
        <v>1398078.5666376969</v>
      </c>
      <c r="L44" s="12">
        <f>INDEX('Debt Schedule'!D19:DS19,1,10*12)</f>
        <v>1371001.7216534351</v>
      </c>
    </row>
    <row r="46" spans="1:12" x14ac:dyDescent="0.25">
      <c r="A46" s="11" t="s">
        <v>40</v>
      </c>
      <c r="C46" s="13">
        <f>Exit!I18</f>
        <v>0.56074196594584702</v>
      </c>
      <c r="D46" s="13">
        <f>Exit!I19</f>
        <v>0.37852234224566184</v>
      </c>
      <c r="E46" s="13">
        <f>Exit!I20</f>
        <v>0.29094732124649836</v>
      </c>
      <c r="F46" s="13">
        <f>Exit!I21</f>
        <v>0.28458014255543396</v>
      </c>
      <c r="G46" s="13">
        <f>Exit!I22</f>
        <v>0.27741656061743103</v>
      </c>
      <c r="H46" s="13">
        <f>Exit!I23</f>
        <v>0.27033932522049309</v>
      </c>
      <c r="I46" s="13">
        <f>Exit!I24</f>
        <v>0.26369183679454222</v>
      </c>
      <c r="J46" s="13">
        <f>Exit!I25</f>
        <v>0.25758923667805944</v>
      </c>
      <c r="K46" s="13">
        <f>Exit!I26</f>
        <v>0.25204830424312918</v>
      </c>
      <c r="L46" s="13">
        <f>Exit!I27</f>
        <v>0.2424330949026694</v>
      </c>
    </row>
  </sheetData>
  <mergeCells count="4">
    <mergeCell ref="A1:M1"/>
    <mergeCell ref="A2:M2"/>
    <mergeCell ref="A4:B4"/>
    <mergeCell ref="A20:B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29.42578125" customWidth="1"/>
    <col min="2" max="2" width="12" customWidth="1"/>
    <col min="3" max="3" width="11" customWidth="1"/>
    <col min="4" max="5" width="12" customWidth="1"/>
    <col min="6" max="6" width="9" customWidth="1"/>
    <col min="7" max="7" width="13" customWidth="1"/>
    <col min="8" max="10" width="12" customWidth="1"/>
    <col min="11" max="11" width="11" customWidth="1"/>
    <col min="12" max="12" width="18" customWidth="1"/>
  </cols>
  <sheetData>
    <row r="1" spans="1:12" ht="24" customHeight="1" x14ac:dyDescent="0.25">
      <c r="A1" s="141" t="s">
        <v>147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3.5" customHeight="1" x14ac:dyDescent="0.25">
      <c r="A2" s="142" t="s">
        <v>148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ht="25.5" customHeight="1" x14ac:dyDescent="0.25">
      <c r="A4" s="37" t="s">
        <v>149</v>
      </c>
      <c r="B4" s="37" t="s">
        <v>150</v>
      </c>
      <c r="C4" s="37" t="s">
        <v>151</v>
      </c>
      <c r="D4" s="37" t="s">
        <v>152</v>
      </c>
      <c r="E4" s="37" t="s">
        <v>153</v>
      </c>
      <c r="F4" s="37" t="s">
        <v>154</v>
      </c>
      <c r="G4" s="37" t="s">
        <v>155</v>
      </c>
      <c r="H4" s="37" t="s">
        <v>156</v>
      </c>
      <c r="I4" s="37" t="s">
        <v>157</v>
      </c>
      <c r="J4" s="37" t="s">
        <v>158</v>
      </c>
      <c r="K4" s="37" t="s">
        <v>159</v>
      </c>
      <c r="L4" s="37" t="s">
        <v>160</v>
      </c>
    </row>
    <row r="5" spans="1:12" x14ac:dyDescent="0.25">
      <c r="A5" s="38" t="s">
        <v>161</v>
      </c>
      <c r="B5" s="38" t="s">
        <v>162</v>
      </c>
      <c r="C5" s="39" t="s">
        <v>163</v>
      </c>
      <c r="D5" s="40">
        <f>IF(C5="Occupied",Assumptions!$B$23,0)</f>
        <v>350</v>
      </c>
      <c r="E5" s="40">
        <f>Assumptions!$B$24</f>
        <v>425</v>
      </c>
      <c r="F5" s="41">
        <f>Assumptions!$B$10</f>
        <v>0.03</v>
      </c>
      <c r="G5" s="39" t="s">
        <v>164</v>
      </c>
      <c r="H5" s="42">
        <f t="shared" ref="H5:H36" si="0">E5</f>
        <v>425</v>
      </c>
      <c r="I5" s="42">
        <f t="shared" ref="I5:I36" si="1">IF(C5="Occupied",D5,0)</f>
        <v>350</v>
      </c>
      <c r="J5" s="42">
        <f t="shared" ref="J5:J36" si="2">IF(C5="Vacant",E5,0)</f>
        <v>0</v>
      </c>
      <c r="K5" s="40">
        <f>IF(C5="Occupied",Assumptions!$B$26,0)</f>
        <v>20</v>
      </c>
      <c r="L5" s="9" t="s">
        <v>165</v>
      </c>
    </row>
    <row r="6" spans="1:12" x14ac:dyDescent="0.25">
      <c r="A6" s="38" t="s">
        <v>166</v>
      </c>
      <c r="B6" s="38" t="s">
        <v>162</v>
      </c>
      <c r="C6" s="39" t="s">
        <v>163</v>
      </c>
      <c r="D6" s="40">
        <f>IF(C6="Occupied",Assumptions!$B$23,0)</f>
        <v>350</v>
      </c>
      <c r="E6" s="40">
        <f>Assumptions!$B$24</f>
        <v>425</v>
      </c>
      <c r="F6" s="41">
        <f>Assumptions!$B$10</f>
        <v>0.03</v>
      </c>
      <c r="G6" s="39" t="s">
        <v>164</v>
      </c>
      <c r="H6" s="42">
        <f t="shared" si="0"/>
        <v>425</v>
      </c>
      <c r="I6" s="42">
        <f t="shared" si="1"/>
        <v>350</v>
      </c>
      <c r="J6" s="42">
        <f t="shared" si="2"/>
        <v>0</v>
      </c>
      <c r="K6" s="40">
        <f>IF(C6="Occupied",Assumptions!$B$26,0)</f>
        <v>20</v>
      </c>
      <c r="L6" s="9" t="s">
        <v>165</v>
      </c>
    </row>
    <row r="7" spans="1:12" x14ac:dyDescent="0.25">
      <c r="A7" s="38" t="s">
        <v>167</v>
      </c>
      <c r="B7" s="38" t="s">
        <v>162</v>
      </c>
      <c r="C7" s="39" t="s">
        <v>163</v>
      </c>
      <c r="D7" s="40">
        <f>IF(C7="Occupied",Assumptions!$B$23,0)</f>
        <v>350</v>
      </c>
      <c r="E7" s="40">
        <f>Assumptions!$B$24</f>
        <v>425</v>
      </c>
      <c r="F7" s="41">
        <f>Assumptions!$B$10</f>
        <v>0.03</v>
      </c>
      <c r="G7" s="39" t="s">
        <v>164</v>
      </c>
      <c r="H7" s="42">
        <f t="shared" si="0"/>
        <v>425</v>
      </c>
      <c r="I7" s="42">
        <f t="shared" si="1"/>
        <v>350</v>
      </c>
      <c r="J7" s="42">
        <f t="shared" si="2"/>
        <v>0</v>
      </c>
      <c r="K7" s="40">
        <f>IF(C7="Occupied",Assumptions!$B$26,0)</f>
        <v>20</v>
      </c>
      <c r="L7" s="9" t="s">
        <v>165</v>
      </c>
    </row>
    <row r="8" spans="1:12" x14ac:dyDescent="0.25">
      <c r="A8" s="38" t="s">
        <v>168</v>
      </c>
      <c r="B8" s="38" t="s">
        <v>162</v>
      </c>
      <c r="C8" s="39" t="s">
        <v>163</v>
      </c>
      <c r="D8" s="40">
        <f>IF(C8="Occupied",Assumptions!$B$23,0)</f>
        <v>350</v>
      </c>
      <c r="E8" s="40">
        <f>Assumptions!$B$24</f>
        <v>425</v>
      </c>
      <c r="F8" s="41">
        <f>Assumptions!$B$10</f>
        <v>0.03</v>
      </c>
      <c r="G8" s="39" t="s">
        <v>164</v>
      </c>
      <c r="H8" s="42">
        <f t="shared" si="0"/>
        <v>425</v>
      </c>
      <c r="I8" s="42">
        <f t="shared" si="1"/>
        <v>350</v>
      </c>
      <c r="J8" s="42">
        <f t="shared" si="2"/>
        <v>0</v>
      </c>
      <c r="K8" s="40">
        <f>IF(C8="Occupied",Assumptions!$B$26,0)</f>
        <v>20</v>
      </c>
      <c r="L8" s="9" t="s">
        <v>165</v>
      </c>
    </row>
    <row r="9" spans="1:12" x14ac:dyDescent="0.25">
      <c r="A9" s="38" t="s">
        <v>169</v>
      </c>
      <c r="B9" s="38" t="s">
        <v>162</v>
      </c>
      <c r="C9" s="39" t="s">
        <v>163</v>
      </c>
      <c r="D9" s="40">
        <f>IF(C9="Occupied",Assumptions!$B$23,0)</f>
        <v>350</v>
      </c>
      <c r="E9" s="40">
        <f>Assumptions!$B$24</f>
        <v>425</v>
      </c>
      <c r="F9" s="41">
        <f>Assumptions!$B$10</f>
        <v>0.03</v>
      </c>
      <c r="G9" s="39" t="s">
        <v>164</v>
      </c>
      <c r="H9" s="42">
        <f t="shared" si="0"/>
        <v>425</v>
      </c>
      <c r="I9" s="42">
        <f t="shared" si="1"/>
        <v>350</v>
      </c>
      <c r="J9" s="42">
        <f t="shared" si="2"/>
        <v>0</v>
      </c>
      <c r="K9" s="40">
        <f>IF(C9="Occupied",Assumptions!$B$26,0)</f>
        <v>20</v>
      </c>
      <c r="L9" s="9" t="s">
        <v>165</v>
      </c>
    </row>
    <row r="10" spans="1:12" x14ac:dyDescent="0.25">
      <c r="A10" s="38" t="s">
        <v>170</v>
      </c>
      <c r="B10" s="38" t="s">
        <v>162</v>
      </c>
      <c r="C10" s="39" t="s">
        <v>163</v>
      </c>
      <c r="D10" s="40">
        <f>IF(C10="Occupied",Assumptions!$B$23,0)</f>
        <v>350</v>
      </c>
      <c r="E10" s="40">
        <f>Assumptions!$B$24</f>
        <v>425</v>
      </c>
      <c r="F10" s="41">
        <f>Assumptions!$B$10</f>
        <v>0.03</v>
      </c>
      <c r="G10" s="39" t="s">
        <v>164</v>
      </c>
      <c r="H10" s="42">
        <f t="shared" si="0"/>
        <v>425</v>
      </c>
      <c r="I10" s="42">
        <f t="shared" si="1"/>
        <v>350</v>
      </c>
      <c r="J10" s="42">
        <f t="shared" si="2"/>
        <v>0</v>
      </c>
      <c r="K10" s="40">
        <f>IF(C10="Occupied",Assumptions!$B$26,0)</f>
        <v>20</v>
      </c>
      <c r="L10" s="9" t="s">
        <v>165</v>
      </c>
    </row>
    <row r="11" spans="1:12" x14ac:dyDescent="0.25">
      <c r="A11" s="38" t="s">
        <v>171</v>
      </c>
      <c r="B11" s="38" t="s">
        <v>162</v>
      </c>
      <c r="C11" s="39" t="s">
        <v>163</v>
      </c>
      <c r="D11" s="40">
        <f>IF(C11="Occupied",Assumptions!$B$23,0)</f>
        <v>350</v>
      </c>
      <c r="E11" s="40">
        <f>Assumptions!$B$24</f>
        <v>425</v>
      </c>
      <c r="F11" s="41">
        <f>Assumptions!$B$10</f>
        <v>0.03</v>
      </c>
      <c r="G11" s="39" t="s">
        <v>164</v>
      </c>
      <c r="H11" s="42">
        <f t="shared" si="0"/>
        <v>425</v>
      </c>
      <c r="I11" s="42">
        <f t="shared" si="1"/>
        <v>350</v>
      </c>
      <c r="J11" s="42">
        <f t="shared" si="2"/>
        <v>0</v>
      </c>
      <c r="K11" s="40">
        <f>IF(C11="Occupied",Assumptions!$B$26,0)</f>
        <v>20</v>
      </c>
      <c r="L11" s="9" t="s">
        <v>165</v>
      </c>
    </row>
    <row r="12" spans="1:12" x14ac:dyDescent="0.25">
      <c r="A12" s="38" t="s">
        <v>172</v>
      </c>
      <c r="B12" s="38" t="s">
        <v>162</v>
      </c>
      <c r="C12" s="39" t="s">
        <v>163</v>
      </c>
      <c r="D12" s="40">
        <f>IF(C12="Occupied",Assumptions!$B$23,0)</f>
        <v>350</v>
      </c>
      <c r="E12" s="40">
        <f>Assumptions!$B$24</f>
        <v>425</v>
      </c>
      <c r="F12" s="41">
        <f>Assumptions!$B$10</f>
        <v>0.03</v>
      </c>
      <c r="G12" s="39" t="s">
        <v>164</v>
      </c>
      <c r="H12" s="42">
        <f t="shared" si="0"/>
        <v>425</v>
      </c>
      <c r="I12" s="42">
        <f t="shared" si="1"/>
        <v>350</v>
      </c>
      <c r="J12" s="42">
        <f t="shared" si="2"/>
        <v>0</v>
      </c>
      <c r="K12" s="40">
        <f>IF(C12="Occupied",Assumptions!$B$26,0)</f>
        <v>20</v>
      </c>
      <c r="L12" s="9" t="s">
        <v>165</v>
      </c>
    </row>
    <row r="13" spans="1:12" x14ac:dyDescent="0.25">
      <c r="A13" s="38" t="s">
        <v>173</v>
      </c>
      <c r="B13" s="38" t="s">
        <v>162</v>
      </c>
      <c r="C13" s="39" t="s">
        <v>163</v>
      </c>
      <c r="D13" s="40">
        <f>IF(C13="Occupied",Assumptions!$B$23,0)</f>
        <v>350</v>
      </c>
      <c r="E13" s="40">
        <f>Assumptions!$B$24</f>
        <v>425</v>
      </c>
      <c r="F13" s="41">
        <f>Assumptions!$B$10</f>
        <v>0.03</v>
      </c>
      <c r="G13" s="39" t="s">
        <v>164</v>
      </c>
      <c r="H13" s="42">
        <f t="shared" si="0"/>
        <v>425</v>
      </c>
      <c r="I13" s="42">
        <f t="shared" si="1"/>
        <v>350</v>
      </c>
      <c r="J13" s="42">
        <f t="shared" si="2"/>
        <v>0</v>
      </c>
      <c r="K13" s="40">
        <f>IF(C13="Occupied",Assumptions!$B$26,0)</f>
        <v>20</v>
      </c>
      <c r="L13" s="9" t="s">
        <v>165</v>
      </c>
    </row>
    <row r="14" spans="1:12" x14ac:dyDescent="0.25">
      <c r="A14" s="38" t="s">
        <v>174</v>
      </c>
      <c r="B14" s="38" t="s">
        <v>162</v>
      </c>
      <c r="C14" s="39" t="s">
        <v>163</v>
      </c>
      <c r="D14" s="40">
        <f>IF(C14="Occupied",Assumptions!$B$23,0)</f>
        <v>350</v>
      </c>
      <c r="E14" s="40">
        <f>Assumptions!$B$24</f>
        <v>425</v>
      </c>
      <c r="F14" s="41">
        <f>Assumptions!$B$10</f>
        <v>0.03</v>
      </c>
      <c r="G14" s="39" t="s">
        <v>164</v>
      </c>
      <c r="H14" s="42">
        <f t="shared" si="0"/>
        <v>425</v>
      </c>
      <c r="I14" s="42">
        <f t="shared" si="1"/>
        <v>350</v>
      </c>
      <c r="J14" s="42">
        <f t="shared" si="2"/>
        <v>0</v>
      </c>
      <c r="K14" s="40">
        <f>IF(C14="Occupied",Assumptions!$B$26,0)</f>
        <v>20</v>
      </c>
      <c r="L14" s="9" t="s">
        <v>165</v>
      </c>
    </row>
    <row r="15" spans="1:12" x14ac:dyDescent="0.25">
      <c r="A15" s="38" t="s">
        <v>175</v>
      </c>
      <c r="B15" s="38" t="s">
        <v>176</v>
      </c>
      <c r="C15" s="39" t="s">
        <v>163</v>
      </c>
      <c r="D15" s="40">
        <f>IF(C15="Occupied",Assumptions!$B$23,0)</f>
        <v>350</v>
      </c>
      <c r="E15" s="40">
        <f>Assumptions!$B$24</f>
        <v>425</v>
      </c>
      <c r="F15" s="41">
        <f>Assumptions!$B$10</f>
        <v>0.03</v>
      </c>
      <c r="G15" s="39" t="s">
        <v>164</v>
      </c>
      <c r="H15" s="42">
        <f t="shared" si="0"/>
        <v>425</v>
      </c>
      <c r="I15" s="42">
        <f t="shared" si="1"/>
        <v>350</v>
      </c>
      <c r="J15" s="42">
        <f t="shared" si="2"/>
        <v>0</v>
      </c>
      <c r="K15" s="40">
        <f>IF(C15="Occupied",Assumptions!$B$26,0)</f>
        <v>20</v>
      </c>
      <c r="L15" s="9"/>
    </row>
    <row r="16" spans="1:12" x14ac:dyDescent="0.25">
      <c r="A16" s="38" t="s">
        <v>177</v>
      </c>
      <c r="B16" s="38" t="s">
        <v>176</v>
      </c>
      <c r="C16" s="39" t="s">
        <v>163</v>
      </c>
      <c r="D16" s="40">
        <f>IF(C16="Occupied",Assumptions!$B$23,0)</f>
        <v>350</v>
      </c>
      <c r="E16" s="40">
        <f>Assumptions!$B$24</f>
        <v>425</v>
      </c>
      <c r="F16" s="41">
        <f>Assumptions!$B$10</f>
        <v>0.03</v>
      </c>
      <c r="G16" s="39" t="s">
        <v>164</v>
      </c>
      <c r="H16" s="42">
        <f t="shared" si="0"/>
        <v>425</v>
      </c>
      <c r="I16" s="42">
        <f t="shared" si="1"/>
        <v>350</v>
      </c>
      <c r="J16" s="42">
        <f t="shared" si="2"/>
        <v>0</v>
      </c>
      <c r="K16" s="40">
        <f>IF(C16="Occupied",Assumptions!$B$26,0)</f>
        <v>20</v>
      </c>
      <c r="L16" s="9"/>
    </row>
    <row r="17" spans="1:12" x14ac:dyDescent="0.25">
      <c r="A17" s="38" t="s">
        <v>178</v>
      </c>
      <c r="B17" s="38" t="s">
        <v>176</v>
      </c>
      <c r="C17" s="39" t="s">
        <v>163</v>
      </c>
      <c r="D17" s="40">
        <f>IF(C17="Occupied",Assumptions!$B$23,0)</f>
        <v>350</v>
      </c>
      <c r="E17" s="40">
        <f>Assumptions!$B$24</f>
        <v>425</v>
      </c>
      <c r="F17" s="41">
        <f>Assumptions!$B$10</f>
        <v>0.03</v>
      </c>
      <c r="G17" s="39" t="s">
        <v>164</v>
      </c>
      <c r="H17" s="42">
        <f t="shared" si="0"/>
        <v>425</v>
      </c>
      <c r="I17" s="42">
        <f t="shared" si="1"/>
        <v>350</v>
      </c>
      <c r="J17" s="42">
        <f t="shared" si="2"/>
        <v>0</v>
      </c>
      <c r="K17" s="40">
        <f>IF(C17="Occupied",Assumptions!$B$26,0)</f>
        <v>20</v>
      </c>
      <c r="L17" s="9"/>
    </row>
    <row r="18" spans="1:12" x14ac:dyDescent="0.25">
      <c r="A18" s="38" t="s">
        <v>179</v>
      </c>
      <c r="B18" s="38" t="s">
        <v>176</v>
      </c>
      <c r="C18" s="39" t="s">
        <v>163</v>
      </c>
      <c r="D18" s="40">
        <f>IF(C18="Occupied",Assumptions!$B$23,0)</f>
        <v>350</v>
      </c>
      <c r="E18" s="40">
        <f>Assumptions!$B$24</f>
        <v>425</v>
      </c>
      <c r="F18" s="41">
        <f>Assumptions!$B$10</f>
        <v>0.03</v>
      </c>
      <c r="G18" s="39" t="s">
        <v>164</v>
      </c>
      <c r="H18" s="42">
        <f t="shared" si="0"/>
        <v>425</v>
      </c>
      <c r="I18" s="42">
        <f t="shared" si="1"/>
        <v>350</v>
      </c>
      <c r="J18" s="42">
        <f t="shared" si="2"/>
        <v>0</v>
      </c>
      <c r="K18" s="40">
        <f>IF(C18="Occupied",Assumptions!$B$26,0)</f>
        <v>20</v>
      </c>
      <c r="L18" s="9"/>
    </row>
    <row r="19" spans="1:12" x14ac:dyDescent="0.25">
      <c r="A19" s="38" t="s">
        <v>180</v>
      </c>
      <c r="B19" s="38" t="s">
        <v>176</v>
      </c>
      <c r="C19" s="39" t="s">
        <v>163</v>
      </c>
      <c r="D19" s="40">
        <f>IF(C19="Occupied",Assumptions!$B$23,0)</f>
        <v>350</v>
      </c>
      <c r="E19" s="40">
        <f>Assumptions!$B$24</f>
        <v>425</v>
      </c>
      <c r="F19" s="41">
        <f>Assumptions!$B$10</f>
        <v>0.03</v>
      </c>
      <c r="G19" s="39" t="s">
        <v>164</v>
      </c>
      <c r="H19" s="42">
        <f t="shared" si="0"/>
        <v>425</v>
      </c>
      <c r="I19" s="42">
        <f t="shared" si="1"/>
        <v>350</v>
      </c>
      <c r="J19" s="42">
        <f t="shared" si="2"/>
        <v>0</v>
      </c>
      <c r="K19" s="40">
        <f>IF(C19="Occupied",Assumptions!$B$26,0)</f>
        <v>20</v>
      </c>
      <c r="L19" s="9"/>
    </row>
    <row r="20" spans="1:12" x14ac:dyDescent="0.25">
      <c r="A20" s="38" t="s">
        <v>181</v>
      </c>
      <c r="B20" s="38" t="s">
        <v>176</v>
      </c>
      <c r="C20" s="39" t="s">
        <v>163</v>
      </c>
      <c r="D20" s="40">
        <f>IF(C20="Occupied",Assumptions!$B$23,0)</f>
        <v>350</v>
      </c>
      <c r="E20" s="40">
        <f>Assumptions!$B$24</f>
        <v>425</v>
      </c>
      <c r="F20" s="41">
        <f>Assumptions!$B$10</f>
        <v>0.03</v>
      </c>
      <c r="G20" s="39" t="s">
        <v>164</v>
      </c>
      <c r="H20" s="42">
        <f t="shared" si="0"/>
        <v>425</v>
      </c>
      <c r="I20" s="42">
        <f t="shared" si="1"/>
        <v>350</v>
      </c>
      <c r="J20" s="42">
        <f t="shared" si="2"/>
        <v>0</v>
      </c>
      <c r="K20" s="40">
        <f>IF(C20="Occupied",Assumptions!$B$26,0)</f>
        <v>20</v>
      </c>
      <c r="L20" s="9"/>
    </row>
    <row r="21" spans="1:12" x14ac:dyDescent="0.25">
      <c r="A21" s="38" t="s">
        <v>182</v>
      </c>
      <c r="B21" s="38" t="s">
        <v>176</v>
      </c>
      <c r="C21" s="39" t="s">
        <v>163</v>
      </c>
      <c r="D21" s="40">
        <f>IF(C21="Occupied",Assumptions!$B$23,0)</f>
        <v>350</v>
      </c>
      <c r="E21" s="40">
        <f>Assumptions!$B$24</f>
        <v>425</v>
      </c>
      <c r="F21" s="41">
        <f>Assumptions!$B$10</f>
        <v>0.03</v>
      </c>
      <c r="G21" s="39" t="s">
        <v>164</v>
      </c>
      <c r="H21" s="42">
        <f t="shared" si="0"/>
        <v>425</v>
      </c>
      <c r="I21" s="42">
        <f t="shared" si="1"/>
        <v>350</v>
      </c>
      <c r="J21" s="42">
        <f t="shared" si="2"/>
        <v>0</v>
      </c>
      <c r="K21" s="40">
        <f>IF(C21="Occupied",Assumptions!$B$26,0)</f>
        <v>20</v>
      </c>
      <c r="L21" s="9"/>
    </row>
    <row r="22" spans="1:12" x14ac:dyDescent="0.25">
      <c r="A22" s="38" t="s">
        <v>183</v>
      </c>
      <c r="B22" s="38" t="s">
        <v>176</v>
      </c>
      <c r="C22" s="39" t="s">
        <v>163</v>
      </c>
      <c r="D22" s="40">
        <f>IF(C22="Occupied",Assumptions!$B$23,0)</f>
        <v>350</v>
      </c>
      <c r="E22" s="40">
        <f>Assumptions!$B$24</f>
        <v>425</v>
      </c>
      <c r="F22" s="41">
        <f>Assumptions!$B$10</f>
        <v>0.03</v>
      </c>
      <c r="G22" s="39" t="s">
        <v>164</v>
      </c>
      <c r="H22" s="42">
        <f t="shared" si="0"/>
        <v>425</v>
      </c>
      <c r="I22" s="42">
        <f t="shared" si="1"/>
        <v>350</v>
      </c>
      <c r="J22" s="42">
        <f t="shared" si="2"/>
        <v>0</v>
      </c>
      <c r="K22" s="40">
        <f>IF(C22="Occupied",Assumptions!$B$26,0)</f>
        <v>20</v>
      </c>
      <c r="L22" s="9"/>
    </row>
    <row r="23" spans="1:12" x14ac:dyDescent="0.25">
      <c r="A23" s="38" t="s">
        <v>184</v>
      </c>
      <c r="B23" s="38" t="s">
        <v>176</v>
      </c>
      <c r="C23" s="39" t="s">
        <v>163</v>
      </c>
      <c r="D23" s="40">
        <f>IF(C23="Occupied",Assumptions!$B$23,0)</f>
        <v>350</v>
      </c>
      <c r="E23" s="40">
        <f>Assumptions!$B$24</f>
        <v>425</v>
      </c>
      <c r="F23" s="41">
        <f>Assumptions!$B$10</f>
        <v>0.03</v>
      </c>
      <c r="G23" s="39" t="s">
        <v>164</v>
      </c>
      <c r="H23" s="42">
        <f t="shared" si="0"/>
        <v>425</v>
      </c>
      <c r="I23" s="42">
        <f t="shared" si="1"/>
        <v>350</v>
      </c>
      <c r="J23" s="42">
        <f t="shared" si="2"/>
        <v>0</v>
      </c>
      <c r="K23" s="40">
        <f>IF(C23="Occupied",Assumptions!$B$26,0)</f>
        <v>20</v>
      </c>
      <c r="L23" s="9"/>
    </row>
    <row r="24" spans="1:12" x14ac:dyDescent="0.25">
      <c r="A24" s="38" t="s">
        <v>185</v>
      </c>
      <c r="B24" s="38" t="s">
        <v>176</v>
      </c>
      <c r="C24" s="39" t="s">
        <v>163</v>
      </c>
      <c r="D24" s="40">
        <f>IF(C24="Occupied",Assumptions!$B$23,0)</f>
        <v>350</v>
      </c>
      <c r="E24" s="40">
        <f>Assumptions!$B$24</f>
        <v>425</v>
      </c>
      <c r="F24" s="41">
        <f>Assumptions!$B$10</f>
        <v>0.03</v>
      </c>
      <c r="G24" s="39" t="s">
        <v>164</v>
      </c>
      <c r="H24" s="42">
        <f t="shared" si="0"/>
        <v>425</v>
      </c>
      <c r="I24" s="42">
        <f t="shared" si="1"/>
        <v>350</v>
      </c>
      <c r="J24" s="42">
        <f t="shared" si="2"/>
        <v>0</v>
      </c>
      <c r="K24" s="40">
        <f>IF(C24="Occupied",Assumptions!$B$26,0)</f>
        <v>20</v>
      </c>
      <c r="L24" s="9"/>
    </row>
    <row r="25" spans="1:12" x14ac:dyDescent="0.25">
      <c r="A25" s="38" t="s">
        <v>186</v>
      </c>
      <c r="B25" s="38" t="s">
        <v>176</v>
      </c>
      <c r="C25" s="39" t="s">
        <v>163</v>
      </c>
      <c r="D25" s="40">
        <f>IF(C25="Occupied",Assumptions!$B$23,0)</f>
        <v>350</v>
      </c>
      <c r="E25" s="40">
        <f>Assumptions!$B$24</f>
        <v>425</v>
      </c>
      <c r="F25" s="41">
        <f>Assumptions!$B$10</f>
        <v>0.03</v>
      </c>
      <c r="G25" s="39" t="s">
        <v>164</v>
      </c>
      <c r="H25" s="42">
        <f t="shared" si="0"/>
        <v>425</v>
      </c>
      <c r="I25" s="42">
        <f t="shared" si="1"/>
        <v>350</v>
      </c>
      <c r="J25" s="42">
        <f t="shared" si="2"/>
        <v>0</v>
      </c>
      <c r="K25" s="40">
        <f>IF(C25="Occupied",Assumptions!$B$26,0)</f>
        <v>20</v>
      </c>
      <c r="L25" s="9"/>
    </row>
    <row r="26" spans="1:12" x14ac:dyDescent="0.25">
      <c r="A26" s="38" t="s">
        <v>187</v>
      </c>
      <c r="B26" s="38" t="s">
        <v>176</v>
      </c>
      <c r="C26" s="39" t="s">
        <v>163</v>
      </c>
      <c r="D26" s="40">
        <f>IF(C26="Occupied",Assumptions!$B$23,0)</f>
        <v>350</v>
      </c>
      <c r="E26" s="40">
        <f>Assumptions!$B$24</f>
        <v>425</v>
      </c>
      <c r="F26" s="41">
        <f>Assumptions!$B$10</f>
        <v>0.03</v>
      </c>
      <c r="G26" s="39" t="s">
        <v>164</v>
      </c>
      <c r="H26" s="42">
        <f t="shared" si="0"/>
        <v>425</v>
      </c>
      <c r="I26" s="42">
        <f t="shared" si="1"/>
        <v>350</v>
      </c>
      <c r="J26" s="42">
        <f t="shared" si="2"/>
        <v>0</v>
      </c>
      <c r="K26" s="40">
        <f>IF(C26="Occupied",Assumptions!$B$26,0)</f>
        <v>20</v>
      </c>
      <c r="L26" s="9"/>
    </row>
    <row r="27" spans="1:12" x14ac:dyDescent="0.25">
      <c r="A27" s="38" t="s">
        <v>188</v>
      </c>
      <c r="B27" s="38" t="s">
        <v>176</v>
      </c>
      <c r="C27" s="39" t="s">
        <v>163</v>
      </c>
      <c r="D27" s="40">
        <f>IF(C27="Occupied",Assumptions!$B$23,0)</f>
        <v>350</v>
      </c>
      <c r="E27" s="40">
        <f>Assumptions!$B$24</f>
        <v>425</v>
      </c>
      <c r="F27" s="41">
        <f>Assumptions!$B$10</f>
        <v>0.03</v>
      </c>
      <c r="G27" s="39" t="s">
        <v>164</v>
      </c>
      <c r="H27" s="42">
        <f t="shared" si="0"/>
        <v>425</v>
      </c>
      <c r="I27" s="42">
        <f t="shared" si="1"/>
        <v>350</v>
      </c>
      <c r="J27" s="42">
        <f t="shared" si="2"/>
        <v>0</v>
      </c>
      <c r="K27" s="40">
        <f>IF(C27="Occupied",Assumptions!$B$26,0)</f>
        <v>20</v>
      </c>
      <c r="L27" s="9"/>
    </row>
    <row r="28" spans="1:12" x14ac:dyDescent="0.25">
      <c r="A28" s="38" t="s">
        <v>189</v>
      </c>
      <c r="B28" s="38" t="s">
        <v>176</v>
      </c>
      <c r="C28" s="39" t="s">
        <v>163</v>
      </c>
      <c r="D28" s="40">
        <f>IF(C28="Occupied",Assumptions!$B$23,0)</f>
        <v>350</v>
      </c>
      <c r="E28" s="40">
        <f>Assumptions!$B$24</f>
        <v>425</v>
      </c>
      <c r="F28" s="41">
        <f>Assumptions!$B$10</f>
        <v>0.03</v>
      </c>
      <c r="G28" s="39" t="s">
        <v>164</v>
      </c>
      <c r="H28" s="42">
        <f t="shared" si="0"/>
        <v>425</v>
      </c>
      <c r="I28" s="42">
        <f t="shared" si="1"/>
        <v>350</v>
      </c>
      <c r="J28" s="42">
        <f t="shared" si="2"/>
        <v>0</v>
      </c>
      <c r="K28" s="40">
        <f>IF(C28="Occupied",Assumptions!$B$26,0)</f>
        <v>20</v>
      </c>
      <c r="L28" s="9"/>
    </row>
    <row r="29" spans="1:12" x14ac:dyDescent="0.25">
      <c r="A29" s="38" t="s">
        <v>190</v>
      </c>
      <c r="B29" s="38" t="s">
        <v>176</v>
      </c>
      <c r="C29" s="39" t="s">
        <v>163</v>
      </c>
      <c r="D29" s="40">
        <f>IF(C29="Occupied",Assumptions!$B$23,0)</f>
        <v>350</v>
      </c>
      <c r="E29" s="40">
        <f>Assumptions!$B$24</f>
        <v>425</v>
      </c>
      <c r="F29" s="41">
        <f>Assumptions!$B$10</f>
        <v>0.03</v>
      </c>
      <c r="G29" s="39" t="s">
        <v>164</v>
      </c>
      <c r="H29" s="42">
        <f t="shared" si="0"/>
        <v>425</v>
      </c>
      <c r="I29" s="42">
        <f t="shared" si="1"/>
        <v>350</v>
      </c>
      <c r="J29" s="42">
        <f t="shared" si="2"/>
        <v>0</v>
      </c>
      <c r="K29" s="40">
        <f>IF(C29="Occupied",Assumptions!$B$26,0)</f>
        <v>20</v>
      </c>
      <c r="L29" s="9"/>
    </row>
    <row r="30" spans="1:12" x14ac:dyDescent="0.25">
      <c r="A30" s="38" t="s">
        <v>191</v>
      </c>
      <c r="B30" s="38" t="s">
        <v>176</v>
      </c>
      <c r="C30" s="39" t="s">
        <v>163</v>
      </c>
      <c r="D30" s="40">
        <f>IF(C30="Occupied",Assumptions!$B$23,0)</f>
        <v>350</v>
      </c>
      <c r="E30" s="40">
        <f>Assumptions!$B$24</f>
        <v>425</v>
      </c>
      <c r="F30" s="41">
        <f>Assumptions!$B$10</f>
        <v>0.03</v>
      </c>
      <c r="G30" s="39" t="s">
        <v>164</v>
      </c>
      <c r="H30" s="42">
        <f t="shared" si="0"/>
        <v>425</v>
      </c>
      <c r="I30" s="42">
        <f t="shared" si="1"/>
        <v>350</v>
      </c>
      <c r="J30" s="42">
        <f t="shared" si="2"/>
        <v>0</v>
      </c>
      <c r="K30" s="40">
        <f>IF(C30="Occupied",Assumptions!$B$26,0)</f>
        <v>20</v>
      </c>
      <c r="L30" s="9"/>
    </row>
    <row r="31" spans="1:12" x14ac:dyDescent="0.25">
      <c r="A31" s="38" t="s">
        <v>192</v>
      </c>
      <c r="B31" s="38" t="s">
        <v>176</v>
      </c>
      <c r="C31" s="39" t="s">
        <v>163</v>
      </c>
      <c r="D31" s="40">
        <f>IF(C31="Occupied",Assumptions!$B$23,0)</f>
        <v>350</v>
      </c>
      <c r="E31" s="40">
        <f>Assumptions!$B$24</f>
        <v>425</v>
      </c>
      <c r="F31" s="41">
        <f>Assumptions!$B$10</f>
        <v>0.03</v>
      </c>
      <c r="G31" s="39" t="s">
        <v>164</v>
      </c>
      <c r="H31" s="42">
        <f t="shared" si="0"/>
        <v>425</v>
      </c>
      <c r="I31" s="42">
        <f t="shared" si="1"/>
        <v>350</v>
      </c>
      <c r="J31" s="42">
        <f t="shared" si="2"/>
        <v>0</v>
      </c>
      <c r="K31" s="40">
        <f>IF(C31="Occupied",Assumptions!$B$26,0)</f>
        <v>20</v>
      </c>
      <c r="L31" s="9"/>
    </row>
    <row r="32" spans="1:12" x14ac:dyDescent="0.25">
      <c r="A32" s="38" t="s">
        <v>193</v>
      </c>
      <c r="B32" s="38" t="s">
        <v>176</v>
      </c>
      <c r="C32" s="39" t="s">
        <v>163</v>
      </c>
      <c r="D32" s="40">
        <f>IF(C32="Occupied",Assumptions!$B$23,0)</f>
        <v>350</v>
      </c>
      <c r="E32" s="40">
        <f>Assumptions!$B$24</f>
        <v>425</v>
      </c>
      <c r="F32" s="41">
        <f>Assumptions!$B$10</f>
        <v>0.03</v>
      </c>
      <c r="G32" s="39" t="s">
        <v>164</v>
      </c>
      <c r="H32" s="42">
        <f t="shared" si="0"/>
        <v>425</v>
      </c>
      <c r="I32" s="42">
        <f t="shared" si="1"/>
        <v>350</v>
      </c>
      <c r="J32" s="42">
        <f t="shared" si="2"/>
        <v>0</v>
      </c>
      <c r="K32" s="40">
        <f>IF(C32="Occupied",Assumptions!$B$26,0)</f>
        <v>20</v>
      </c>
      <c r="L32" s="9"/>
    </row>
    <row r="33" spans="1:12" x14ac:dyDescent="0.25">
      <c r="A33" s="38" t="s">
        <v>194</v>
      </c>
      <c r="B33" s="38" t="s">
        <v>176</v>
      </c>
      <c r="C33" s="39" t="s">
        <v>163</v>
      </c>
      <c r="D33" s="40">
        <f>IF(C33="Occupied",Assumptions!$B$23,0)</f>
        <v>350</v>
      </c>
      <c r="E33" s="40">
        <f>Assumptions!$B$24</f>
        <v>425</v>
      </c>
      <c r="F33" s="41">
        <f>Assumptions!$B$10</f>
        <v>0.03</v>
      </c>
      <c r="G33" s="39" t="s">
        <v>164</v>
      </c>
      <c r="H33" s="42">
        <f t="shared" si="0"/>
        <v>425</v>
      </c>
      <c r="I33" s="42">
        <f t="shared" si="1"/>
        <v>350</v>
      </c>
      <c r="J33" s="42">
        <f t="shared" si="2"/>
        <v>0</v>
      </c>
      <c r="K33" s="40">
        <f>IF(C33="Occupied",Assumptions!$B$26,0)</f>
        <v>20</v>
      </c>
      <c r="L33" s="9"/>
    </row>
    <row r="34" spans="1:12" x14ac:dyDescent="0.25">
      <c r="A34" s="38" t="s">
        <v>195</v>
      </c>
      <c r="B34" s="38" t="s">
        <v>176</v>
      </c>
      <c r="C34" s="39" t="s">
        <v>163</v>
      </c>
      <c r="D34" s="40">
        <f>IF(C34="Occupied",Assumptions!$B$23,0)</f>
        <v>350</v>
      </c>
      <c r="E34" s="40">
        <f>Assumptions!$B$24</f>
        <v>425</v>
      </c>
      <c r="F34" s="41">
        <f>Assumptions!$B$10</f>
        <v>0.03</v>
      </c>
      <c r="G34" s="39" t="s">
        <v>164</v>
      </c>
      <c r="H34" s="42">
        <f t="shared" si="0"/>
        <v>425</v>
      </c>
      <c r="I34" s="42">
        <f t="shared" si="1"/>
        <v>350</v>
      </c>
      <c r="J34" s="42">
        <f t="shared" si="2"/>
        <v>0</v>
      </c>
      <c r="K34" s="40">
        <f>IF(C34="Occupied",Assumptions!$B$26,0)</f>
        <v>20</v>
      </c>
      <c r="L34" s="9"/>
    </row>
    <row r="35" spans="1:12" x14ac:dyDescent="0.25">
      <c r="A35" s="38" t="s">
        <v>196</v>
      </c>
      <c r="B35" s="38" t="s">
        <v>176</v>
      </c>
      <c r="C35" s="39" t="s">
        <v>163</v>
      </c>
      <c r="D35" s="40">
        <f>IF(C35="Occupied",Assumptions!$B$23,0)</f>
        <v>350</v>
      </c>
      <c r="E35" s="40">
        <f>Assumptions!$B$24</f>
        <v>425</v>
      </c>
      <c r="F35" s="41">
        <f>Assumptions!$B$10</f>
        <v>0.03</v>
      </c>
      <c r="G35" s="39" t="s">
        <v>164</v>
      </c>
      <c r="H35" s="42">
        <f t="shared" si="0"/>
        <v>425</v>
      </c>
      <c r="I35" s="42">
        <f t="shared" si="1"/>
        <v>350</v>
      </c>
      <c r="J35" s="42">
        <f t="shared" si="2"/>
        <v>0</v>
      </c>
      <c r="K35" s="40">
        <f>IF(C35="Occupied",Assumptions!$B$26,0)</f>
        <v>20</v>
      </c>
      <c r="L35" s="9"/>
    </row>
    <row r="36" spans="1:12" x14ac:dyDescent="0.25">
      <c r="A36" s="38" t="s">
        <v>197</v>
      </c>
      <c r="B36" s="38" t="s">
        <v>176</v>
      </c>
      <c r="C36" s="39" t="s">
        <v>163</v>
      </c>
      <c r="D36" s="40">
        <f>IF(C36="Occupied",Assumptions!$B$23,0)</f>
        <v>350</v>
      </c>
      <c r="E36" s="40">
        <f>Assumptions!$B$24</f>
        <v>425</v>
      </c>
      <c r="F36" s="41">
        <f>Assumptions!$B$10</f>
        <v>0.03</v>
      </c>
      <c r="G36" s="39" t="s">
        <v>164</v>
      </c>
      <c r="H36" s="42">
        <f t="shared" si="0"/>
        <v>425</v>
      </c>
      <c r="I36" s="42">
        <f t="shared" si="1"/>
        <v>350</v>
      </c>
      <c r="J36" s="42">
        <f t="shared" si="2"/>
        <v>0</v>
      </c>
      <c r="K36" s="40">
        <f>IF(C36="Occupied",Assumptions!$B$26,0)</f>
        <v>20</v>
      </c>
      <c r="L36" s="9"/>
    </row>
    <row r="37" spans="1:12" x14ac:dyDescent="0.25">
      <c r="A37" s="38" t="s">
        <v>198</v>
      </c>
      <c r="B37" s="38" t="s">
        <v>176</v>
      </c>
      <c r="C37" s="39" t="s">
        <v>163</v>
      </c>
      <c r="D37" s="40">
        <f>IF(C37="Occupied",Assumptions!$B$23,0)</f>
        <v>350</v>
      </c>
      <c r="E37" s="40">
        <f>Assumptions!$B$24</f>
        <v>425</v>
      </c>
      <c r="F37" s="41">
        <f>Assumptions!$B$10</f>
        <v>0.03</v>
      </c>
      <c r="G37" s="39" t="s">
        <v>164</v>
      </c>
      <c r="H37" s="42">
        <f t="shared" ref="H37:H68" si="3">E37</f>
        <v>425</v>
      </c>
      <c r="I37" s="42">
        <f t="shared" ref="I37:I68" si="4">IF(C37="Occupied",D37,0)</f>
        <v>350</v>
      </c>
      <c r="J37" s="42">
        <f t="shared" ref="J37:J68" si="5">IF(C37="Vacant",E37,0)</f>
        <v>0</v>
      </c>
      <c r="K37" s="40">
        <f>IF(C37="Occupied",Assumptions!$B$26,0)</f>
        <v>20</v>
      </c>
      <c r="L37" s="9"/>
    </row>
    <row r="38" spans="1:12" x14ac:dyDescent="0.25">
      <c r="A38" s="38" t="s">
        <v>199</v>
      </c>
      <c r="B38" s="38" t="s">
        <v>176</v>
      </c>
      <c r="C38" s="39" t="s">
        <v>163</v>
      </c>
      <c r="D38" s="40">
        <f>IF(C38="Occupied",Assumptions!$B$23,0)</f>
        <v>350</v>
      </c>
      <c r="E38" s="40">
        <f>Assumptions!$B$24</f>
        <v>425</v>
      </c>
      <c r="F38" s="41">
        <f>Assumptions!$B$10</f>
        <v>0.03</v>
      </c>
      <c r="G38" s="39" t="s">
        <v>164</v>
      </c>
      <c r="H38" s="42">
        <f t="shared" si="3"/>
        <v>425</v>
      </c>
      <c r="I38" s="42">
        <f t="shared" si="4"/>
        <v>350</v>
      </c>
      <c r="J38" s="42">
        <f t="shared" si="5"/>
        <v>0</v>
      </c>
      <c r="K38" s="40">
        <f>IF(C38="Occupied",Assumptions!$B$26,0)</f>
        <v>20</v>
      </c>
      <c r="L38" s="9"/>
    </row>
    <row r="39" spans="1:12" x14ac:dyDescent="0.25">
      <c r="A39" s="38" t="s">
        <v>200</v>
      </c>
      <c r="B39" s="38" t="s">
        <v>176</v>
      </c>
      <c r="C39" s="39" t="s">
        <v>163</v>
      </c>
      <c r="D39" s="40">
        <f>IF(C39="Occupied",Assumptions!$B$23,0)</f>
        <v>350</v>
      </c>
      <c r="E39" s="40">
        <f>Assumptions!$B$24</f>
        <v>425</v>
      </c>
      <c r="F39" s="41">
        <f>Assumptions!$B$10</f>
        <v>0.03</v>
      </c>
      <c r="G39" s="39" t="s">
        <v>164</v>
      </c>
      <c r="H39" s="42">
        <f t="shared" si="3"/>
        <v>425</v>
      </c>
      <c r="I39" s="42">
        <f t="shared" si="4"/>
        <v>350</v>
      </c>
      <c r="J39" s="42">
        <f t="shared" si="5"/>
        <v>0</v>
      </c>
      <c r="K39" s="40">
        <f>IF(C39="Occupied",Assumptions!$B$26,0)</f>
        <v>20</v>
      </c>
      <c r="L39" s="9"/>
    </row>
    <row r="40" spans="1:12" x14ac:dyDescent="0.25">
      <c r="A40" s="38" t="s">
        <v>201</v>
      </c>
      <c r="B40" s="38" t="s">
        <v>176</v>
      </c>
      <c r="C40" s="39" t="s">
        <v>163</v>
      </c>
      <c r="D40" s="40">
        <f>IF(C40="Occupied",Assumptions!$B$23,0)</f>
        <v>350</v>
      </c>
      <c r="E40" s="40">
        <f>Assumptions!$B$24</f>
        <v>425</v>
      </c>
      <c r="F40" s="41">
        <f>Assumptions!$B$10</f>
        <v>0.03</v>
      </c>
      <c r="G40" s="39" t="s">
        <v>164</v>
      </c>
      <c r="H40" s="42">
        <f t="shared" si="3"/>
        <v>425</v>
      </c>
      <c r="I40" s="42">
        <f t="shared" si="4"/>
        <v>350</v>
      </c>
      <c r="J40" s="42">
        <f t="shared" si="5"/>
        <v>0</v>
      </c>
      <c r="K40" s="40">
        <f>IF(C40="Occupied",Assumptions!$B$26,0)</f>
        <v>20</v>
      </c>
      <c r="L40" s="9"/>
    </row>
    <row r="41" spans="1:12" x14ac:dyDescent="0.25">
      <c r="A41" s="38" t="s">
        <v>202</v>
      </c>
      <c r="B41" s="38" t="s">
        <v>176</v>
      </c>
      <c r="C41" s="39" t="s">
        <v>163</v>
      </c>
      <c r="D41" s="40">
        <f>IF(C41="Occupied",Assumptions!$B$23,0)</f>
        <v>350</v>
      </c>
      <c r="E41" s="40">
        <f>Assumptions!$B$24</f>
        <v>425</v>
      </c>
      <c r="F41" s="41">
        <f>Assumptions!$B$10</f>
        <v>0.03</v>
      </c>
      <c r="G41" s="39" t="s">
        <v>164</v>
      </c>
      <c r="H41" s="42">
        <f t="shared" si="3"/>
        <v>425</v>
      </c>
      <c r="I41" s="42">
        <f t="shared" si="4"/>
        <v>350</v>
      </c>
      <c r="J41" s="42">
        <f t="shared" si="5"/>
        <v>0</v>
      </c>
      <c r="K41" s="40">
        <f>IF(C41="Occupied",Assumptions!$B$26,0)</f>
        <v>20</v>
      </c>
      <c r="L41" s="9"/>
    </row>
    <row r="42" spans="1:12" x14ac:dyDescent="0.25">
      <c r="A42" s="38" t="s">
        <v>203</v>
      </c>
      <c r="B42" s="38" t="s">
        <v>176</v>
      </c>
      <c r="C42" s="39" t="s">
        <v>163</v>
      </c>
      <c r="D42" s="40">
        <f>IF(C42="Occupied",Assumptions!$B$23,0)</f>
        <v>350</v>
      </c>
      <c r="E42" s="40">
        <f>Assumptions!$B$24</f>
        <v>425</v>
      </c>
      <c r="F42" s="41">
        <f>Assumptions!$B$10</f>
        <v>0.03</v>
      </c>
      <c r="G42" s="39" t="s">
        <v>164</v>
      </c>
      <c r="H42" s="42">
        <f t="shared" si="3"/>
        <v>425</v>
      </c>
      <c r="I42" s="42">
        <f t="shared" si="4"/>
        <v>350</v>
      </c>
      <c r="J42" s="42">
        <f t="shared" si="5"/>
        <v>0</v>
      </c>
      <c r="K42" s="40">
        <f>IF(C42="Occupied",Assumptions!$B$26,0)</f>
        <v>20</v>
      </c>
      <c r="L42" s="9"/>
    </row>
    <row r="43" spans="1:12" x14ac:dyDescent="0.25">
      <c r="A43" s="38" t="s">
        <v>204</v>
      </c>
      <c r="B43" s="38" t="s">
        <v>176</v>
      </c>
      <c r="C43" s="39" t="s">
        <v>163</v>
      </c>
      <c r="D43" s="40">
        <f>IF(C43="Occupied",Assumptions!$B$23,0)</f>
        <v>350</v>
      </c>
      <c r="E43" s="40">
        <f>Assumptions!$B$24</f>
        <v>425</v>
      </c>
      <c r="F43" s="41">
        <f>Assumptions!$B$10</f>
        <v>0.03</v>
      </c>
      <c r="G43" s="39" t="s">
        <v>164</v>
      </c>
      <c r="H43" s="42">
        <f t="shared" si="3"/>
        <v>425</v>
      </c>
      <c r="I43" s="42">
        <f t="shared" si="4"/>
        <v>350</v>
      </c>
      <c r="J43" s="42">
        <f t="shared" si="5"/>
        <v>0</v>
      </c>
      <c r="K43" s="40">
        <f>IF(C43="Occupied",Assumptions!$B$26,0)</f>
        <v>20</v>
      </c>
      <c r="L43" s="9"/>
    </row>
    <row r="44" spans="1:12" x14ac:dyDescent="0.25">
      <c r="A44" s="38" t="s">
        <v>205</v>
      </c>
      <c r="B44" s="38" t="s">
        <v>176</v>
      </c>
      <c r="C44" s="39" t="s">
        <v>163</v>
      </c>
      <c r="D44" s="40">
        <f>IF(C44="Occupied",Assumptions!$B$23,0)</f>
        <v>350</v>
      </c>
      <c r="E44" s="40">
        <f>Assumptions!$B$24</f>
        <v>425</v>
      </c>
      <c r="F44" s="41">
        <f>Assumptions!$B$10</f>
        <v>0.03</v>
      </c>
      <c r="G44" s="39" t="s">
        <v>164</v>
      </c>
      <c r="H44" s="42">
        <f t="shared" si="3"/>
        <v>425</v>
      </c>
      <c r="I44" s="42">
        <f t="shared" si="4"/>
        <v>350</v>
      </c>
      <c r="J44" s="42">
        <f t="shared" si="5"/>
        <v>0</v>
      </c>
      <c r="K44" s="40">
        <f>IF(C44="Occupied",Assumptions!$B$26,0)</f>
        <v>20</v>
      </c>
      <c r="L44" s="9"/>
    </row>
    <row r="45" spans="1:12" x14ac:dyDescent="0.25">
      <c r="A45" s="38" t="s">
        <v>206</v>
      </c>
      <c r="B45" s="38" t="s">
        <v>176</v>
      </c>
      <c r="C45" s="39" t="s">
        <v>163</v>
      </c>
      <c r="D45" s="40">
        <f>IF(C45="Occupied",Assumptions!$B$23,0)</f>
        <v>350</v>
      </c>
      <c r="E45" s="40">
        <f>Assumptions!$B$24</f>
        <v>425</v>
      </c>
      <c r="F45" s="41">
        <f>Assumptions!$B$10</f>
        <v>0.03</v>
      </c>
      <c r="G45" s="39" t="s">
        <v>164</v>
      </c>
      <c r="H45" s="42">
        <f t="shared" si="3"/>
        <v>425</v>
      </c>
      <c r="I45" s="42">
        <f t="shared" si="4"/>
        <v>350</v>
      </c>
      <c r="J45" s="42">
        <f t="shared" si="5"/>
        <v>0</v>
      </c>
      <c r="K45" s="40">
        <f>IF(C45="Occupied",Assumptions!$B$26,0)</f>
        <v>20</v>
      </c>
      <c r="L45" s="9"/>
    </row>
    <row r="46" spans="1:12" x14ac:dyDescent="0.25">
      <c r="A46" s="38" t="s">
        <v>207</v>
      </c>
      <c r="B46" s="38" t="s">
        <v>176</v>
      </c>
      <c r="C46" s="39" t="s">
        <v>163</v>
      </c>
      <c r="D46" s="40">
        <f>IF(C46="Occupied",Assumptions!$B$23,0)</f>
        <v>350</v>
      </c>
      <c r="E46" s="40">
        <f>Assumptions!$B$24</f>
        <v>425</v>
      </c>
      <c r="F46" s="41">
        <f>Assumptions!$B$10</f>
        <v>0.03</v>
      </c>
      <c r="G46" s="39" t="s">
        <v>164</v>
      </c>
      <c r="H46" s="42">
        <f t="shared" si="3"/>
        <v>425</v>
      </c>
      <c r="I46" s="42">
        <f t="shared" si="4"/>
        <v>350</v>
      </c>
      <c r="J46" s="42">
        <f t="shared" si="5"/>
        <v>0</v>
      </c>
      <c r="K46" s="40">
        <f>IF(C46="Occupied",Assumptions!$B$26,0)</f>
        <v>20</v>
      </c>
      <c r="L46" s="9"/>
    </row>
    <row r="47" spans="1:12" x14ac:dyDescent="0.25">
      <c r="A47" s="38" t="s">
        <v>208</v>
      </c>
      <c r="B47" s="38" t="s">
        <v>176</v>
      </c>
      <c r="C47" s="39" t="s">
        <v>163</v>
      </c>
      <c r="D47" s="40">
        <f>IF(C47="Occupied",Assumptions!$B$23,0)</f>
        <v>350</v>
      </c>
      <c r="E47" s="40">
        <f>Assumptions!$B$24</f>
        <v>425</v>
      </c>
      <c r="F47" s="41">
        <f>Assumptions!$B$10</f>
        <v>0.03</v>
      </c>
      <c r="G47" s="39" t="s">
        <v>164</v>
      </c>
      <c r="H47" s="42">
        <f t="shared" si="3"/>
        <v>425</v>
      </c>
      <c r="I47" s="42">
        <f t="shared" si="4"/>
        <v>350</v>
      </c>
      <c r="J47" s="42">
        <f t="shared" si="5"/>
        <v>0</v>
      </c>
      <c r="K47" s="40">
        <f>IF(C47="Occupied",Assumptions!$B$26,0)</f>
        <v>20</v>
      </c>
      <c r="L47" s="9"/>
    </row>
    <row r="48" spans="1:12" x14ac:dyDescent="0.25">
      <c r="A48" s="38" t="s">
        <v>209</v>
      </c>
      <c r="B48" s="38" t="s">
        <v>176</v>
      </c>
      <c r="C48" s="39" t="s">
        <v>163</v>
      </c>
      <c r="D48" s="40">
        <f>IF(C48="Occupied",Assumptions!$B$23,0)</f>
        <v>350</v>
      </c>
      <c r="E48" s="40">
        <f>Assumptions!$B$24</f>
        <v>425</v>
      </c>
      <c r="F48" s="41">
        <f>Assumptions!$B$10</f>
        <v>0.03</v>
      </c>
      <c r="G48" s="39" t="s">
        <v>164</v>
      </c>
      <c r="H48" s="42">
        <f t="shared" si="3"/>
        <v>425</v>
      </c>
      <c r="I48" s="42">
        <f t="shared" si="4"/>
        <v>350</v>
      </c>
      <c r="J48" s="42">
        <f t="shared" si="5"/>
        <v>0</v>
      </c>
      <c r="K48" s="40">
        <f>IF(C48="Occupied",Assumptions!$B$26,0)</f>
        <v>20</v>
      </c>
      <c r="L48" s="9"/>
    </row>
    <row r="49" spans="1:12" x14ac:dyDescent="0.25">
      <c r="A49" s="38" t="s">
        <v>210</v>
      </c>
      <c r="B49" s="38" t="s">
        <v>176</v>
      </c>
      <c r="C49" s="39" t="s">
        <v>163</v>
      </c>
      <c r="D49" s="40">
        <f>IF(C49="Occupied",Assumptions!$B$23,0)</f>
        <v>350</v>
      </c>
      <c r="E49" s="40">
        <f>Assumptions!$B$24</f>
        <v>425</v>
      </c>
      <c r="F49" s="41">
        <f>Assumptions!$B$10</f>
        <v>0.03</v>
      </c>
      <c r="G49" s="39" t="s">
        <v>164</v>
      </c>
      <c r="H49" s="42">
        <f t="shared" si="3"/>
        <v>425</v>
      </c>
      <c r="I49" s="42">
        <f t="shared" si="4"/>
        <v>350</v>
      </c>
      <c r="J49" s="42">
        <f t="shared" si="5"/>
        <v>0</v>
      </c>
      <c r="K49" s="40">
        <f>IF(C49="Occupied",Assumptions!$B$26,0)</f>
        <v>20</v>
      </c>
      <c r="L49" s="9"/>
    </row>
    <row r="50" spans="1:12" x14ac:dyDescent="0.25">
      <c r="A50" s="38" t="s">
        <v>211</v>
      </c>
      <c r="B50" s="38" t="s">
        <v>176</v>
      </c>
      <c r="C50" s="39" t="s">
        <v>163</v>
      </c>
      <c r="D50" s="40">
        <f>IF(C50="Occupied",Assumptions!$B$23,0)</f>
        <v>350</v>
      </c>
      <c r="E50" s="40">
        <f>Assumptions!$B$24</f>
        <v>425</v>
      </c>
      <c r="F50" s="41">
        <f>Assumptions!$B$10</f>
        <v>0.03</v>
      </c>
      <c r="G50" s="39" t="s">
        <v>164</v>
      </c>
      <c r="H50" s="42">
        <f t="shared" si="3"/>
        <v>425</v>
      </c>
      <c r="I50" s="42">
        <f t="shared" si="4"/>
        <v>350</v>
      </c>
      <c r="J50" s="42">
        <f t="shared" si="5"/>
        <v>0</v>
      </c>
      <c r="K50" s="40">
        <f>IF(C50="Occupied",Assumptions!$B$26,0)</f>
        <v>20</v>
      </c>
      <c r="L50" s="9"/>
    </row>
    <row r="51" spans="1:12" x14ac:dyDescent="0.25">
      <c r="A51" s="38" t="s">
        <v>212</v>
      </c>
      <c r="B51" s="38" t="s">
        <v>176</v>
      </c>
      <c r="C51" s="39" t="s">
        <v>163</v>
      </c>
      <c r="D51" s="40">
        <f>IF(C51="Occupied",Assumptions!$B$23,0)</f>
        <v>350</v>
      </c>
      <c r="E51" s="40">
        <f>Assumptions!$B$24</f>
        <v>425</v>
      </c>
      <c r="F51" s="41">
        <f>Assumptions!$B$10</f>
        <v>0.03</v>
      </c>
      <c r="G51" s="39" t="s">
        <v>164</v>
      </c>
      <c r="H51" s="42">
        <f t="shared" si="3"/>
        <v>425</v>
      </c>
      <c r="I51" s="42">
        <f t="shared" si="4"/>
        <v>350</v>
      </c>
      <c r="J51" s="42">
        <f t="shared" si="5"/>
        <v>0</v>
      </c>
      <c r="K51" s="40">
        <f>IF(C51="Occupied",Assumptions!$B$26,0)</f>
        <v>20</v>
      </c>
      <c r="L51" s="9"/>
    </row>
    <row r="52" spans="1:12" x14ac:dyDescent="0.25">
      <c r="A52" s="38" t="s">
        <v>213</v>
      </c>
      <c r="B52" s="38" t="s">
        <v>176</v>
      </c>
      <c r="C52" s="39" t="s">
        <v>163</v>
      </c>
      <c r="D52" s="40">
        <f>IF(C52="Occupied",Assumptions!$B$23,0)</f>
        <v>350</v>
      </c>
      <c r="E52" s="40">
        <f>Assumptions!$B$24</f>
        <v>425</v>
      </c>
      <c r="F52" s="41">
        <f>Assumptions!$B$10</f>
        <v>0.03</v>
      </c>
      <c r="G52" s="39" t="s">
        <v>164</v>
      </c>
      <c r="H52" s="42">
        <f t="shared" si="3"/>
        <v>425</v>
      </c>
      <c r="I52" s="42">
        <f t="shared" si="4"/>
        <v>350</v>
      </c>
      <c r="J52" s="42">
        <f t="shared" si="5"/>
        <v>0</v>
      </c>
      <c r="K52" s="40">
        <f>IF(C52="Occupied",Assumptions!$B$26,0)</f>
        <v>20</v>
      </c>
      <c r="L52" s="9"/>
    </row>
    <row r="53" spans="1:12" x14ac:dyDescent="0.25">
      <c r="A53" s="38" t="s">
        <v>214</v>
      </c>
      <c r="B53" s="38" t="s">
        <v>176</v>
      </c>
      <c r="C53" s="39" t="s">
        <v>163</v>
      </c>
      <c r="D53" s="40">
        <f>IF(C53="Occupied",Assumptions!$B$23,0)</f>
        <v>350</v>
      </c>
      <c r="E53" s="40">
        <f>Assumptions!$B$24</f>
        <v>425</v>
      </c>
      <c r="F53" s="41">
        <f>Assumptions!$B$10</f>
        <v>0.03</v>
      </c>
      <c r="G53" s="39" t="s">
        <v>164</v>
      </c>
      <c r="H53" s="42">
        <f t="shared" si="3"/>
        <v>425</v>
      </c>
      <c r="I53" s="42">
        <f t="shared" si="4"/>
        <v>350</v>
      </c>
      <c r="J53" s="42">
        <f t="shared" si="5"/>
        <v>0</v>
      </c>
      <c r="K53" s="40">
        <f>IF(C53="Occupied",Assumptions!$B$26,0)</f>
        <v>20</v>
      </c>
      <c r="L53" s="9"/>
    </row>
    <row r="54" spans="1:12" x14ac:dyDescent="0.25">
      <c r="A54" s="38" t="s">
        <v>215</v>
      </c>
      <c r="B54" s="38" t="s">
        <v>176</v>
      </c>
      <c r="C54" s="39" t="s">
        <v>163</v>
      </c>
      <c r="D54" s="40">
        <f>IF(C54="Occupied",Assumptions!$B$23,0)</f>
        <v>350</v>
      </c>
      <c r="E54" s="40">
        <f>Assumptions!$B$24</f>
        <v>425</v>
      </c>
      <c r="F54" s="41">
        <f>Assumptions!$B$10</f>
        <v>0.03</v>
      </c>
      <c r="G54" s="39" t="s">
        <v>164</v>
      </c>
      <c r="H54" s="42">
        <f t="shared" si="3"/>
        <v>425</v>
      </c>
      <c r="I54" s="42">
        <f t="shared" si="4"/>
        <v>350</v>
      </c>
      <c r="J54" s="42">
        <f t="shared" si="5"/>
        <v>0</v>
      </c>
      <c r="K54" s="40">
        <f>IF(C54="Occupied",Assumptions!$B$26,0)</f>
        <v>20</v>
      </c>
      <c r="L54" s="9"/>
    </row>
    <row r="55" spans="1:12" x14ac:dyDescent="0.25">
      <c r="A55" s="38" t="s">
        <v>216</v>
      </c>
      <c r="B55" s="38" t="s">
        <v>176</v>
      </c>
      <c r="C55" s="39" t="s">
        <v>163</v>
      </c>
      <c r="D55" s="40">
        <f>IF(C55="Occupied",Assumptions!$B$23,0)</f>
        <v>350</v>
      </c>
      <c r="E55" s="40">
        <f>Assumptions!$B$24</f>
        <v>425</v>
      </c>
      <c r="F55" s="41">
        <f>Assumptions!$B$10</f>
        <v>0.03</v>
      </c>
      <c r="G55" s="39" t="s">
        <v>164</v>
      </c>
      <c r="H55" s="42">
        <f t="shared" si="3"/>
        <v>425</v>
      </c>
      <c r="I55" s="42">
        <f t="shared" si="4"/>
        <v>350</v>
      </c>
      <c r="J55" s="42">
        <f t="shared" si="5"/>
        <v>0</v>
      </c>
      <c r="K55" s="40">
        <f>IF(C55="Occupied",Assumptions!$B$26,0)</f>
        <v>20</v>
      </c>
      <c r="L55" s="9"/>
    </row>
    <row r="56" spans="1:12" x14ac:dyDescent="0.25">
      <c r="A56" s="38" t="s">
        <v>217</v>
      </c>
      <c r="B56" s="38" t="s">
        <v>176</v>
      </c>
      <c r="C56" s="39" t="s">
        <v>163</v>
      </c>
      <c r="D56" s="40">
        <f>IF(C56="Occupied",Assumptions!$B$23,0)</f>
        <v>350</v>
      </c>
      <c r="E56" s="40">
        <f>Assumptions!$B$24</f>
        <v>425</v>
      </c>
      <c r="F56" s="41">
        <f>Assumptions!$B$10</f>
        <v>0.03</v>
      </c>
      <c r="G56" s="39" t="s">
        <v>164</v>
      </c>
      <c r="H56" s="42">
        <f t="shared" si="3"/>
        <v>425</v>
      </c>
      <c r="I56" s="42">
        <f t="shared" si="4"/>
        <v>350</v>
      </c>
      <c r="J56" s="42">
        <f t="shared" si="5"/>
        <v>0</v>
      </c>
      <c r="K56" s="40">
        <f>IF(C56="Occupied",Assumptions!$B$26,0)</f>
        <v>20</v>
      </c>
      <c r="L56" s="9"/>
    </row>
    <row r="57" spans="1:12" x14ac:dyDescent="0.25">
      <c r="A57" s="38" t="s">
        <v>218</v>
      </c>
      <c r="B57" s="38" t="s">
        <v>176</v>
      </c>
      <c r="C57" s="39" t="s">
        <v>163</v>
      </c>
      <c r="D57" s="40">
        <f>IF(C57="Occupied",Assumptions!$B$23,0)</f>
        <v>350</v>
      </c>
      <c r="E57" s="40">
        <f>Assumptions!$B$24</f>
        <v>425</v>
      </c>
      <c r="F57" s="41">
        <f>Assumptions!$B$10</f>
        <v>0.03</v>
      </c>
      <c r="G57" s="39" t="s">
        <v>164</v>
      </c>
      <c r="H57" s="42">
        <f t="shared" si="3"/>
        <v>425</v>
      </c>
      <c r="I57" s="42">
        <f t="shared" si="4"/>
        <v>350</v>
      </c>
      <c r="J57" s="42">
        <f t="shared" si="5"/>
        <v>0</v>
      </c>
      <c r="K57" s="40">
        <f>IF(C57="Occupied",Assumptions!$B$26,0)</f>
        <v>20</v>
      </c>
      <c r="L57" s="9"/>
    </row>
    <row r="58" spans="1:12" x14ac:dyDescent="0.25">
      <c r="A58" s="38" t="s">
        <v>219</v>
      </c>
      <c r="B58" s="38" t="s">
        <v>176</v>
      </c>
      <c r="C58" s="39" t="s">
        <v>163</v>
      </c>
      <c r="D58" s="40">
        <f>IF(C58="Occupied",Assumptions!$B$23,0)</f>
        <v>350</v>
      </c>
      <c r="E58" s="40">
        <f>Assumptions!$B$24</f>
        <v>425</v>
      </c>
      <c r="F58" s="41">
        <f>Assumptions!$B$10</f>
        <v>0.03</v>
      </c>
      <c r="G58" s="39" t="s">
        <v>164</v>
      </c>
      <c r="H58" s="42">
        <f t="shared" si="3"/>
        <v>425</v>
      </c>
      <c r="I58" s="42">
        <f t="shared" si="4"/>
        <v>350</v>
      </c>
      <c r="J58" s="42">
        <f t="shared" si="5"/>
        <v>0</v>
      </c>
      <c r="K58" s="40">
        <f>IF(C58="Occupied",Assumptions!$B$26,0)</f>
        <v>20</v>
      </c>
      <c r="L58" s="9"/>
    </row>
    <row r="59" spans="1:12" x14ac:dyDescent="0.25">
      <c r="A59" s="38" t="s">
        <v>220</v>
      </c>
      <c r="B59" s="38" t="s">
        <v>176</v>
      </c>
      <c r="C59" s="39" t="s">
        <v>163</v>
      </c>
      <c r="D59" s="40">
        <f>IF(C59="Occupied",Assumptions!$B$23,0)</f>
        <v>350</v>
      </c>
      <c r="E59" s="40">
        <f>Assumptions!$B$24</f>
        <v>425</v>
      </c>
      <c r="F59" s="41">
        <f>Assumptions!$B$10</f>
        <v>0.03</v>
      </c>
      <c r="G59" s="39" t="s">
        <v>164</v>
      </c>
      <c r="H59" s="42">
        <f t="shared" si="3"/>
        <v>425</v>
      </c>
      <c r="I59" s="42">
        <f t="shared" si="4"/>
        <v>350</v>
      </c>
      <c r="J59" s="42">
        <f t="shared" si="5"/>
        <v>0</v>
      </c>
      <c r="K59" s="40">
        <f>IF(C59="Occupied",Assumptions!$B$26,0)</f>
        <v>20</v>
      </c>
      <c r="L59" s="9"/>
    </row>
    <row r="60" spans="1:12" x14ac:dyDescent="0.25">
      <c r="A60" s="38" t="s">
        <v>221</v>
      </c>
      <c r="B60" s="38" t="s">
        <v>176</v>
      </c>
      <c r="C60" s="39" t="s">
        <v>163</v>
      </c>
      <c r="D60" s="40">
        <f>IF(C60="Occupied",Assumptions!$B$23,0)</f>
        <v>350</v>
      </c>
      <c r="E60" s="40">
        <f>Assumptions!$B$24</f>
        <v>425</v>
      </c>
      <c r="F60" s="41">
        <f>Assumptions!$B$10</f>
        <v>0.03</v>
      </c>
      <c r="G60" s="39" t="s">
        <v>164</v>
      </c>
      <c r="H60" s="42">
        <f t="shared" si="3"/>
        <v>425</v>
      </c>
      <c r="I60" s="42">
        <f t="shared" si="4"/>
        <v>350</v>
      </c>
      <c r="J60" s="42">
        <f t="shared" si="5"/>
        <v>0</v>
      </c>
      <c r="K60" s="40">
        <f>IF(C60="Occupied",Assumptions!$B$26,0)</f>
        <v>20</v>
      </c>
      <c r="L60" s="9"/>
    </row>
    <row r="61" spans="1:12" x14ac:dyDescent="0.25">
      <c r="A61" s="38" t="s">
        <v>222</v>
      </c>
      <c r="B61" s="38" t="s">
        <v>176</v>
      </c>
      <c r="C61" s="39" t="s">
        <v>163</v>
      </c>
      <c r="D61" s="40">
        <f>IF(C61="Occupied",Assumptions!$B$23,0)</f>
        <v>350</v>
      </c>
      <c r="E61" s="40">
        <f>Assumptions!$B$24</f>
        <v>425</v>
      </c>
      <c r="F61" s="41">
        <f>Assumptions!$B$10</f>
        <v>0.03</v>
      </c>
      <c r="G61" s="39" t="s">
        <v>164</v>
      </c>
      <c r="H61" s="42">
        <f t="shared" si="3"/>
        <v>425</v>
      </c>
      <c r="I61" s="42">
        <f t="shared" si="4"/>
        <v>350</v>
      </c>
      <c r="J61" s="42">
        <f t="shared" si="5"/>
        <v>0</v>
      </c>
      <c r="K61" s="40">
        <f>IF(C61="Occupied",Assumptions!$B$26,0)</f>
        <v>20</v>
      </c>
      <c r="L61" s="9"/>
    </row>
    <row r="62" spans="1:12" x14ac:dyDescent="0.25">
      <c r="A62" s="38" t="s">
        <v>223</v>
      </c>
      <c r="B62" s="38" t="s">
        <v>176</v>
      </c>
      <c r="C62" s="39" t="s">
        <v>163</v>
      </c>
      <c r="D62" s="40">
        <f>IF(C62="Occupied",Assumptions!$B$23,0)</f>
        <v>350</v>
      </c>
      <c r="E62" s="40">
        <f>Assumptions!$B$24</f>
        <v>425</v>
      </c>
      <c r="F62" s="41">
        <f>Assumptions!$B$10</f>
        <v>0.03</v>
      </c>
      <c r="G62" s="39" t="s">
        <v>164</v>
      </c>
      <c r="H62" s="42">
        <f t="shared" si="3"/>
        <v>425</v>
      </c>
      <c r="I62" s="42">
        <f t="shared" si="4"/>
        <v>350</v>
      </c>
      <c r="J62" s="42">
        <f t="shared" si="5"/>
        <v>0</v>
      </c>
      <c r="K62" s="40">
        <f>IF(C62="Occupied",Assumptions!$B$26,0)</f>
        <v>20</v>
      </c>
      <c r="L62" s="9"/>
    </row>
    <row r="63" spans="1:12" x14ac:dyDescent="0.25">
      <c r="A63" s="38" t="s">
        <v>224</v>
      </c>
      <c r="B63" s="38" t="s">
        <v>176</v>
      </c>
      <c r="C63" s="39" t="s">
        <v>163</v>
      </c>
      <c r="D63" s="40">
        <f>IF(C63="Occupied",Assumptions!$B$23,0)</f>
        <v>350</v>
      </c>
      <c r="E63" s="40">
        <f>Assumptions!$B$24</f>
        <v>425</v>
      </c>
      <c r="F63" s="41">
        <f>Assumptions!$B$10</f>
        <v>0.03</v>
      </c>
      <c r="G63" s="39" t="s">
        <v>164</v>
      </c>
      <c r="H63" s="42">
        <f t="shared" si="3"/>
        <v>425</v>
      </c>
      <c r="I63" s="42">
        <f t="shared" si="4"/>
        <v>350</v>
      </c>
      <c r="J63" s="42">
        <f t="shared" si="5"/>
        <v>0</v>
      </c>
      <c r="K63" s="40">
        <f>IF(C63="Occupied",Assumptions!$B$26,0)</f>
        <v>20</v>
      </c>
      <c r="L63" s="9"/>
    </row>
    <row r="64" spans="1:12" x14ac:dyDescent="0.25">
      <c r="A64" s="38" t="s">
        <v>225</v>
      </c>
      <c r="B64" s="38" t="s">
        <v>176</v>
      </c>
      <c r="C64" s="39" t="s">
        <v>163</v>
      </c>
      <c r="D64" s="40">
        <f>IF(C64="Occupied",Assumptions!$B$23,0)</f>
        <v>350</v>
      </c>
      <c r="E64" s="40">
        <f>Assumptions!$B$24</f>
        <v>425</v>
      </c>
      <c r="F64" s="41">
        <f>Assumptions!$B$10</f>
        <v>0.03</v>
      </c>
      <c r="G64" s="39" t="s">
        <v>164</v>
      </c>
      <c r="H64" s="42">
        <f t="shared" si="3"/>
        <v>425</v>
      </c>
      <c r="I64" s="42">
        <f t="shared" si="4"/>
        <v>350</v>
      </c>
      <c r="J64" s="42">
        <f t="shared" si="5"/>
        <v>0</v>
      </c>
      <c r="K64" s="40">
        <f>IF(C64="Occupied",Assumptions!$B$26,0)</f>
        <v>20</v>
      </c>
      <c r="L64" s="9"/>
    </row>
    <row r="65" spans="1:12" x14ac:dyDescent="0.25">
      <c r="A65" s="38" t="s">
        <v>226</v>
      </c>
      <c r="B65" s="38" t="s">
        <v>176</v>
      </c>
      <c r="C65" s="39" t="s">
        <v>227</v>
      </c>
      <c r="D65" s="40">
        <f>IF(C65="Occupied",Assumptions!$B$23,0)</f>
        <v>0</v>
      </c>
      <c r="E65" s="40">
        <f>Assumptions!$B$24</f>
        <v>425</v>
      </c>
      <c r="F65" s="41">
        <f>Assumptions!$B$10</f>
        <v>0.03</v>
      </c>
      <c r="G65" s="39" t="s">
        <v>164</v>
      </c>
      <c r="H65" s="42">
        <f t="shared" si="3"/>
        <v>425</v>
      </c>
      <c r="I65" s="42">
        <f t="shared" si="4"/>
        <v>0</v>
      </c>
      <c r="J65" s="42">
        <f t="shared" si="5"/>
        <v>425</v>
      </c>
      <c r="K65" s="40">
        <f>IF(C65="Occupied",Assumptions!$B$26,0)</f>
        <v>0</v>
      </c>
      <c r="L65" s="9"/>
    </row>
    <row r="66" spans="1:12" x14ac:dyDescent="0.25">
      <c r="A66" s="38" t="s">
        <v>228</v>
      </c>
      <c r="B66" s="38" t="s">
        <v>176</v>
      </c>
      <c r="C66" s="39" t="s">
        <v>227</v>
      </c>
      <c r="D66" s="40">
        <f>IF(C66="Occupied",Assumptions!$B$23,0)</f>
        <v>0</v>
      </c>
      <c r="E66" s="40">
        <f>Assumptions!$B$24</f>
        <v>425</v>
      </c>
      <c r="F66" s="41">
        <f>Assumptions!$B$10</f>
        <v>0.03</v>
      </c>
      <c r="G66" s="39" t="s">
        <v>164</v>
      </c>
      <c r="H66" s="42">
        <f t="shared" si="3"/>
        <v>425</v>
      </c>
      <c r="I66" s="42">
        <f t="shared" si="4"/>
        <v>0</v>
      </c>
      <c r="J66" s="42">
        <f t="shared" si="5"/>
        <v>425</v>
      </c>
      <c r="K66" s="40">
        <f>IF(C66="Occupied",Assumptions!$B$26,0)</f>
        <v>0</v>
      </c>
      <c r="L66" s="9"/>
    </row>
    <row r="67" spans="1:12" x14ac:dyDescent="0.25">
      <c r="A67" s="38" t="s">
        <v>229</v>
      </c>
      <c r="B67" s="38" t="s">
        <v>176</v>
      </c>
      <c r="C67" s="39" t="s">
        <v>227</v>
      </c>
      <c r="D67" s="40">
        <f>IF(C67="Occupied",Assumptions!$B$23,0)</f>
        <v>0</v>
      </c>
      <c r="E67" s="40">
        <f>Assumptions!$B$24</f>
        <v>425</v>
      </c>
      <c r="F67" s="41">
        <f>Assumptions!$B$10</f>
        <v>0.03</v>
      </c>
      <c r="G67" s="39" t="s">
        <v>164</v>
      </c>
      <c r="H67" s="42">
        <f t="shared" si="3"/>
        <v>425</v>
      </c>
      <c r="I67" s="42">
        <f t="shared" si="4"/>
        <v>0</v>
      </c>
      <c r="J67" s="42">
        <f t="shared" si="5"/>
        <v>425</v>
      </c>
      <c r="K67" s="40">
        <f>IF(C67="Occupied",Assumptions!$B$26,0)</f>
        <v>0</v>
      </c>
      <c r="L67" s="9"/>
    </row>
    <row r="68" spans="1:12" x14ac:dyDescent="0.25">
      <c r="A68" s="38" t="s">
        <v>230</v>
      </c>
      <c r="B68" s="38" t="s">
        <v>176</v>
      </c>
      <c r="C68" s="39" t="s">
        <v>227</v>
      </c>
      <c r="D68" s="40">
        <f>IF(C68="Occupied",Assumptions!$B$23,0)</f>
        <v>0</v>
      </c>
      <c r="E68" s="40">
        <f>Assumptions!$B$24</f>
        <v>425</v>
      </c>
      <c r="F68" s="41">
        <f>Assumptions!$B$10</f>
        <v>0.03</v>
      </c>
      <c r="G68" s="39" t="s">
        <v>164</v>
      </c>
      <c r="H68" s="42">
        <f t="shared" si="3"/>
        <v>425</v>
      </c>
      <c r="I68" s="42">
        <f t="shared" si="4"/>
        <v>0</v>
      </c>
      <c r="J68" s="42">
        <f t="shared" si="5"/>
        <v>425</v>
      </c>
      <c r="K68" s="40">
        <f>IF(C68="Occupied",Assumptions!$B$26,0)</f>
        <v>0</v>
      </c>
      <c r="L68" s="9"/>
    </row>
    <row r="69" spans="1:12" x14ac:dyDescent="0.25">
      <c r="A69" s="38" t="s">
        <v>231</v>
      </c>
      <c r="B69" s="38" t="s">
        <v>176</v>
      </c>
      <c r="C69" s="39" t="s">
        <v>227</v>
      </c>
      <c r="D69" s="40">
        <f>IF(C69="Occupied",Assumptions!$B$23,0)</f>
        <v>0</v>
      </c>
      <c r="E69" s="40">
        <f>Assumptions!$B$24</f>
        <v>425</v>
      </c>
      <c r="F69" s="41">
        <f>Assumptions!$B$10</f>
        <v>0.03</v>
      </c>
      <c r="G69" s="39" t="s">
        <v>164</v>
      </c>
      <c r="H69" s="42">
        <f t="shared" ref="H69:H84" si="6">E69</f>
        <v>425</v>
      </c>
      <c r="I69" s="42">
        <f t="shared" ref="I69:I84" si="7">IF(C69="Occupied",D69,0)</f>
        <v>0</v>
      </c>
      <c r="J69" s="42">
        <f t="shared" ref="J69:J84" si="8">IF(C69="Vacant",E69,0)</f>
        <v>425</v>
      </c>
      <c r="K69" s="40">
        <f>IF(C69="Occupied",Assumptions!$B$26,0)</f>
        <v>0</v>
      </c>
      <c r="L69" s="9"/>
    </row>
    <row r="70" spans="1:12" x14ac:dyDescent="0.25">
      <c r="A70" s="38" t="s">
        <v>232</v>
      </c>
      <c r="B70" s="38" t="s">
        <v>176</v>
      </c>
      <c r="C70" s="39" t="s">
        <v>227</v>
      </c>
      <c r="D70" s="40">
        <f>IF(C70="Occupied",Assumptions!$B$23,0)</f>
        <v>0</v>
      </c>
      <c r="E70" s="40">
        <f>Assumptions!$B$24</f>
        <v>425</v>
      </c>
      <c r="F70" s="41">
        <f>Assumptions!$B$10</f>
        <v>0.03</v>
      </c>
      <c r="G70" s="39" t="s">
        <v>164</v>
      </c>
      <c r="H70" s="42">
        <f t="shared" si="6"/>
        <v>425</v>
      </c>
      <c r="I70" s="42">
        <f t="shared" si="7"/>
        <v>0</v>
      </c>
      <c r="J70" s="42">
        <f t="shared" si="8"/>
        <v>425</v>
      </c>
      <c r="K70" s="40">
        <f>IF(C70="Occupied",Assumptions!$B$26,0)</f>
        <v>0</v>
      </c>
      <c r="L70" s="9"/>
    </row>
    <row r="71" spans="1:12" x14ac:dyDescent="0.25">
      <c r="A71" s="38" t="s">
        <v>233</v>
      </c>
      <c r="B71" s="38" t="s">
        <v>176</v>
      </c>
      <c r="C71" s="39" t="s">
        <v>227</v>
      </c>
      <c r="D71" s="40">
        <f>IF(C71="Occupied",Assumptions!$B$23,0)</f>
        <v>0</v>
      </c>
      <c r="E71" s="40">
        <f>Assumptions!$B$24</f>
        <v>425</v>
      </c>
      <c r="F71" s="41">
        <f>Assumptions!$B$10</f>
        <v>0.03</v>
      </c>
      <c r="G71" s="39" t="s">
        <v>164</v>
      </c>
      <c r="H71" s="42">
        <f t="shared" si="6"/>
        <v>425</v>
      </c>
      <c r="I71" s="42">
        <f t="shared" si="7"/>
        <v>0</v>
      </c>
      <c r="J71" s="42">
        <f t="shared" si="8"/>
        <v>425</v>
      </c>
      <c r="K71" s="40">
        <f>IF(C71="Occupied",Assumptions!$B$26,0)</f>
        <v>0</v>
      </c>
      <c r="L71" s="9"/>
    </row>
    <row r="72" spans="1:12" x14ac:dyDescent="0.25">
      <c r="A72" s="38" t="s">
        <v>234</v>
      </c>
      <c r="B72" s="38" t="s">
        <v>176</v>
      </c>
      <c r="C72" s="39" t="s">
        <v>227</v>
      </c>
      <c r="D72" s="40">
        <f>IF(C72="Occupied",Assumptions!$B$23,0)</f>
        <v>0</v>
      </c>
      <c r="E72" s="40">
        <f>Assumptions!$B$24</f>
        <v>425</v>
      </c>
      <c r="F72" s="41">
        <f>Assumptions!$B$10</f>
        <v>0.03</v>
      </c>
      <c r="G72" s="39" t="s">
        <v>164</v>
      </c>
      <c r="H72" s="42">
        <f t="shared" si="6"/>
        <v>425</v>
      </c>
      <c r="I72" s="42">
        <f t="shared" si="7"/>
        <v>0</v>
      </c>
      <c r="J72" s="42">
        <f t="shared" si="8"/>
        <v>425</v>
      </c>
      <c r="K72" s="40">
        <f>IF(C72="Occupied",Assumptions!$B$26,0)</f>
        <v>0</v>
      </c>
      <c r="L72" s="9"/>
    </row>
    <row r="73" spans="1:12" x14ac:dyDescent="0.25">
      <c r="A73" s="38" t="s">
        <v>235</v>
      </c>
      <c r="B73" s="38" t="s">
        <v>176</v>
      </c>
      <c r="C73" s="39" t="s">
        <v>227</v>
      </c>
      <c r="D73" s="40">
        <f>IF(C73="Occupied",Assumptions!$B$23,0)</f>
        <v>0</v>
      </c>
      <c r="E73" s="40">
        <f>Assumptions!$B$24</f>
        <v>425</v>
      </c>
      <c r="F73" s="41">
        <f>Assumptions!$B$10</f>
        <v>0.03</v>
      </c>
      <c r="G73" s="39" t="s">
        <v>164</v>
      </c>
      <c r="H73" s="42">
        <f t="shared" si="6"/>
        <v>425</v>
      </c>
      <c r="I73" s="42">
        <f t="shared" si="7"/>
        <v>0</v>
      </c>
      <c r="J73" s="42">
        <f t="shared" si="8"/>
        <v>425</v>
      </c>
      <c r="K73" s="40">
        <f>IF(C73="Occupied",Assumptions!$B$26,0)</f>
        <v>0</v>
      </c>
      <c r="L73" s="9"/>
    </row>
    <row r="74" spans="1:12" x14ac:dyDescent="0.25">
      <c r="A74" s="38" t="s">
        <v>236</v>
      </c>
      <c r="B74" s="38" t="s">
        <v>176</v>
      </c>
      <c r="C74" s="39" t="s">
        <v>227</v>
      </c>
      <c r="D74" s="40">
        <f>IF(C74="Occupied",Assumptions!$B$23,0)</f>
        <v>0</v>
      </c>
      <c r="E74" s="40">
        <f>Assumptions!$B$24</f>
        <v>425</v>
      </c>
      <c r="F74" s="41">
        <f>Assumptions!$B$10</f>
        <v>0.03</v>
      </c>
      <c r="G74" s="39" t="s">
        <v>164</v>
      </c>
      <c r="H74" s="42">
        <f t="shared" si="6"/>
        <v>425</v>
      </c>
      <c r="I74" s="42">
        <f t="shared" si="7"/>
        <v>0</v>
      </c>
      <c r="J74" s="42">
        <f t="shared" si="8"/>
        <v>425</v>
      </c>
      <c r="K74" s="40">
        <f>IF(C74="Occupied",Assumptions!$B$26,0)</f>
        <v>0</v>
      </c>
      <c r="L74" s="9"/>
    </row>
    <row r="75" spans="1:12" x14ac:dyDescent="0.25">
      <c r="A75" s="38" t="s">
        <v>237</v>
      </c>
      <c r="B75" s="38" t="s">
        <v>176</v>
      </c>
      <c r="C75" s="39" t="s">
        <v>227</v>
      </c>
      <c r="D75" s="40">
        <f>IF(C75="Occupied",Assumptions!$B$23,0)</f>
        <v>0</v>
      </c>
      <c r="E75" s="40">
        <f>Assumptions!$B$24</f>
        <v>425</v>
      </c>
      <c r="F75" s="41">
        <f>Assumptions!$B$10</f>
        <v>0.03</v>
      </c>
      <c r="G75" s="39" t="s">
        <v>164</v>
      </c>
      <c r="H75" s="42">
        <f t="shared" si="6"/>
        <v>425</v>
      </c>
      <c r="I75" s="42">
        <f t="shared" si="7"/>
        <v>0</v>
      </c>
      <c r="J75" s="42">
        <f t="shared" si="8"/>
        <v>425</v>
      </c>
      <c r="K75" s="40">
        <f>IF(C75="Occupied",Assumptions!$B$26,0)</f>
        <v>0</v>
      </c>
      <c r="L75" s="9"/>
    </row>
    <row r="76" spans="1:12" x14ac:dyDescent="0.25">
      <c r="A76" s="38" t="s">
        <v>238</v>
      </c>
      <c r="B76" s="38" t="s">
        <v>176</v>
      </c>
      <c r="C76" s="39" t="s">
        <v>227</v>
      </c>
      <c r="D76" s="40">
        <f>IF(C76="Occupied",Assumptions!$B$23,0)</f>
        <v>0</v>
      </c>
      <c r="E76" s="40">
        <f>Assumptions!$B$24</f>
        <v>425</v>
      </c>
      <c r="F76" s="41">
        <f>Assumptions!$B$10</f>
        <v>0.03</v>
      </c>
      <c r="G76" s="39" t="s">
        <v>164</v>
      </c>
      <c r="H76" s="42">
        <f t="shared" si="6"/>
        <v>425</v>
      </c>
      <c r="I76" s="42">
        <f t="shared" si="7"/>
        <v>0</v>
      </c>
      <c r="J76" s="42">
        <f t="shared" si="8"/>
        <v>425</v>
      </c>
      <c r="K76" s="40">
        <f>IF(C76="Occupied",Assumptions!$B$26,0)</f>
        <v>0</v>
      </c>
      <c r="L76" s="9"/>
    </row>
    <row r="77" spans="1:12" x14ac:dyDescent="0.25">
      <c r="A77" s="38" t="s">
        <v>239</v>
      </c>
      <c r="B77" s="38" t="s">
        <v>176</v>
      </c>
      <c r="C77" s="39" t="s">
        <v>227</v>
      </c>
      <c r="D77" s="40">
        <f>IF(C77="Occupied",Assumptions!$B$23,0)</f>
        <v>0</v>
      </c>
      <c r="E77" s="40">
        <f>Assumptions!$B$24</f>
        <v>425</v>
      </c>
      <c r="F77" s="41">
        <f>Assumptions!$B$10</f>
        <v>0.03</v>
      </c>
      <c r="G77" s="39" t="s">
        <v>164</v>
      </c>
      <c r="H77" s="42">
        <f t="shared" si="6"/>
        <v>425</v>
      </c>
      <c r="I77" s="42">
        <f t="shared" si="7"/>
        <v>0</v>
      </c>
      <c r="J77" s="42">
        <f t="shared" si="8"/>
        <v>425</v>
      </c>
      <c r="K77" s="40">
        <f>IF(C77="Occupied",Assumptions!$B$26,0)</f>
        <v>0</v>
      </c>
      <c r="L77" s="9"/>
    </row>
    <row r="78" spans="1:12" x14ac:dyDescent="0.25">
      <c r="A78" s="38" t="s">
        <v>240</v>
      </c>
      <c r="B78" s="38" t="s">
        <v>176</v>
      </c>
      <c r="C78" s="39" t="s">
        <v>227</v>
      </c>
      <c r="D78" s="40">
        <f>IF(C78="Occupied",Assumptions!$B$23,0)</f>
        <v>0</v>
      </c>
      <c r="E78" s="40">
        <f>Assumptions!$B$24</f>
        <v>425</v>
      </c>
      <c r="F78" s="41">
        <f>Assumptions!$B$10</f>
        <v>0.03</v>
      </c>
      <c r="G78" s="39" t="s">
        <v>164</v>
      </c>
      <c r="H78" s="42">
        <f t="shared" si="6"/>
        <v>425</v>
      </c>
      <c r="I78" s="42">
        <f t="shared" si="7"/>
        <v>0</v>
      </c>
      <c r="J78" s="42">
        <f t="shared" si="8"/>
        <v>425</v>
      </c>
      <c r="K78" s="40">
        <f>IF(C78="Occupied",Assumptions!$B$26,0)</f>
        <v>0</v>
      </c>
      <c r="L78" s="9"/>
    </row>
    <row r="79" spans="1:12" x14ac:dyDescent="0.25">
      <c r="A79" s="38" t="s">
        <v>241</v>
      </c>
      <c r="B79" s="38" t="s">
        <v>176</v>
      </c>
      <c r="C79" s="39" t="s">
        <v>227</v>
      </c>
      <c r="D79" s="40">
        <f>IF(C79="Occupied",Assumptions!$B$23,0)</f>
        <v>0</v>
      </c>
      <c r="E79" s="40">
        <f>Assumptions!$B$24</f>
        <v>425</v>
      </c>
      <c r="F79" s="41">
        <f>Assumptions!$B$10</f>
        <v>0.03</v>
      </c>
      <c r="G79" s="39" t="s">
        <v>164</v>
      </c>
      <c r="H79" s="42">
        <f t="shared" si="6"/>
        <v>425</v>
      </c>
      <c r="I79" s="42">
        <f t="shared" si="7"/>
        <v>0</v>
      </c>
      <c r="J79" s="42">
        <f t="shared" si="8"/>
        <v>425</v>
      </c>
      <c r="K79" s="40">
        <f>IF(C79="Occupied",Assumptions!$B$26,0)</f>
        <v>0</v>
      </c>
      <c r="L79" s="9"/>
    </row>
    <row r="80" spans="1:12" x14ac:dyDescent="0.25">
      <c r="A80" s="38" t="s">
        <v>242</v>
      </c>
      <c r="B80" s="38" t="s">
        <v>176</v>
      </c>
      <c r="C80" s="39" t="s">
        <v>227</v>
      </c>
      <c r="D80" s="40">
        <f>IF(C80="Occupied",Assumptions!$B$23,0)</f>
        <v>0</v>
      </c>
      <c r="E80" s="40">
        <f>Assumptions!$B$24</f>
        <v>425</v>
      </c>
      <c r="F80" s="41">
        <f>Assumptions!$B$10</f>
        <v>0.03</v>
      </c>
      <c r="G80" s="39" t="s">
        <v>164</v>
      </c>
      <c r="H80" s="42">
        <f t="shared" si="6"/>
        <v>425</v>
      </c>
      <c r="I80" s="42">
        <f t="shared" si="7"/>
        <v>0</v>
      </c>
      <c r="J80" s="42">
        <f t="shared" si="8"/>
        <v>425</v>
      </c>
      <c r="K80" s="40">
        <f>IF(C80="Occupied",Assumptions!$B$26,0)</f>
        <v>0</v>
      </c>
      <c r="L80" s="9"/>
    </row>
    <row r="81" spans="1:12" x14ac:dyDescent="0.25">
      <c r="A81" s="38" t="s">
        <v>243</v>
      </c>
      <c r="B81" s="38" t="s">
        <v>176</v>
      </c>
      <c r="C81" s="39" t="s">
        <v>227</v>
      </c>
      <c r="D81" s="40">
        <f>IF(C81="Occupied",Assumptions!$B$23,0)</f>
        <v>0</v>
      </c>
      <c r="E81" s="40">
        <f>Assumptions!$B$24</f>
        <v>425</v>
      </c>
      <c r="F81" s="41">
        <f>Assumptions!$B$10</f>
        <v>0.03</v>
      </c>
      <c r="G81" s="39" t="s">
        <v>164</v>
      </c>
      <c r="H81" s="42">
        <f t="shared" si="6"/>
        <v>425</v>
      </c>
      <c r="I81" s="42">
        <f t="shared" si="7"/>
        <v>0</v>
      </c>
      <c r="J81" s="42">
        <f t="shared" si="8"/>
        <v>425</v>
      </c>
      <c r="K81" s="40">
        <f>IF(C81="Occupied",Assumptions!$B$26,0)</f>
        <v>0</v>
      </c>
      <c r="L81" s="9"/>
    </row>
    <row r="82" spans="1:12" x14ac:dyDescent="0.25">
      <c r="A82" s="38" t="s">
        <v>244</v>
      </c>
      <c r="B82" s="38" t="s">
        <v>176</v>
      </c>
      <c r="C82" s="39" t="s">
        <v>227</v>
      </c>
      <c r="D82" s="40">
        <f>IF(C82="Occupied",Assumptions!$B$23,0)</f>
        <v>0</v>
      </c>
      <c r="E82" s="40">
        <f>Assumptions!$B$24</f>
        <v>425</v>
      </c>
      <c r="F82" s="41">
        <f>Assumptions!$B$10</f>
        <v>0.03</v>
      </c>
      <c r="G82" s="39" t="s">
        <v>164</v>
      </c>
      <c r="H82" s="42">
        <f t="shared" si="6"/>
        <v>425</v>
      </c>
      <c r="I82" s="42">
        <f t="shared" si="7"/>
        <v>0</v>
      </c>
      <c r="J82" s="42">
        <f t="shared" si="8"/>
        <v>425</v>
      </c>
      <c r="K82" s="40">
        <f>IF(C82="Occupied",Assumptions!$B$26,0)</f>
        <v>0</v>
      </c>
      <c r="L82" s="9"/>
    </row>
    <row r="83" spans="1:12" x14ac:dyDescent="0.25">
      <c r="A83" s="38" t="s">
        <v>245</v>
      </c>
      <c r="B83" s="38" t="s">
        <v>176</v>
      </c>
      <c r="C83" s="39" t="s">
        <v>227</v>
      </c>
      <c r="D83" s="40">
        <f>IF(C83="Occupied",Assumptions!$B$23,0)</f>
        <v>0</v>
      </c>
      <c r="E83" s="40">
        <f>Assumptions!$B$24</f>
        <v>425</v>
      </c>
      <c r="F83" s="41">
        <f>Assumptions!$B$10</f>
        <v>0.03</v>
      </c>
      <c r="G83" s="39" t="s">
        <v>164</v>
      </c>
      <c r="H83" s="42">
        <f t="shared" si="6"/>
        <v>425</v>
      </c>
      <c r="I83" s="42">
        <f t="shared" si="7"/>
        <v>0</v>
      </c>
      <c r="J83" s="42">
        <f t="shared" si="8"/>
        <v>425</v>
      </c>
      <c r="K83" s="40">
        <f>IF(C83="Occupied",Assumptions!$B$26,0)</f>
        <v>0</v>
      </c>
      <c r="L83" s="9"/>
    </row>
    <row r="84" spans="1:12" x14ac:dyDescent="0.25">
      <c r="A84" s="38" t="s">
        <v>246</v>
      </c>
      <c r="B84" s="38" t="s">
        <v>176</v>
      </c>
      <c r="C84" s="39" t="s">
        <v>227</v>
      </c>
      <c r="D84" s="40">
        <f>IF(C84="Occupied",Assumptions!$B$23,0)</f>
        <v>0</v>
      </c>
      <c r="E84" s="40">
        <f>Assumptions!$B$24</f>
        <v>425</v>
      </c>
      <c r="F84" s="41">
        <f>Assumptions!$B$10</f>
        <v>0.03</v>
      </c>
      <c r="G84" s="39" t="s">
        <v>164</v>
      </c>
      <c r="H84" s="42">
        <f t="shared" si="6"/>
        <v>425</v>
      </c>
      <c r="I84" s="42">
        <f t="shared" si="7"/>
        <v>0</v>
      </c>
      <c r="J84" s="42">
        <f t="shared" si="8"/>
        <v>425</v>
      </c>
      <c r="K84" s="40">
        <f>IF(C84="Occupied",Assumptions!$B$26,0)</f>
        <v>0</v>
      </c>
      <c r="L84" s="9"/>
    </row>
    <row r="85" spans="1:12" x14ac:dyDescent="0.25">
      <c r="A85" s="43" t="s">
        <v>247</v>
      </c>
      <c r="B85" s="44"/>
      <c r="C85" s="44"/>
      <c r="D85" s="44"/>
      <c r="E85" s="44"/>
      <c r="F85" s="44"/>
      <c r="G85" s="44"/>
      <c r="H85" s="45">
        <f>SUM(H5:H84)</f>
        <v>34000</v>
      </c>
      <c r="I85" s="45">
        <f>SUM(I5:I84)</f>
        <v>21000</v>
      </c>
      <c r="J85" s="45">
        <f>SUM(J5:J84)</f>
        <v>8500</v>
      </c>
      <c r="K85" s="45">
        <f>SUM(K5:K84)</f>
        <v>1200</v>
      </c>
      <c r="L85" s="44"/>
    </row>
    <row r="87" spans="1:12" x14ac:dyDescent="0.25">
      <c r="A87" s="46" t="s">
        <v>248</v>
      </c>
      <c r="B87" s="47">
        <f>COUNTA(A5:A84)</f>
        <v>80</v>
      </c>
    </row>
    <row r="88" spans="1:12" x14ac:dyDescent="0.25">
      <c r="A88" s="46" t="s">
        <v>249</v>
      </c>
      <c r="B88" s="47">
        <f>COUNTIF(C5:C84,"Occupied")</f>
        <v>60</v>
      </c>
    </row>
    <row r="89" spans="1:12" x14ac:dyDescent="0.25">
      <c r="A89" s="46" t="s">
        <v>250</v>
      </c>
      <c r="B89" s="48">
        <f>IFERROR(AVERAGEIF(C5:C84,"Occupied",D5:D84),0)</f>
        <v>350</v>
      </c>
    </row>
    <row r="90" spans="1:12" x14ac:dyDescent="0.25">
      <c r="A90" s="46" t="s">
        <v>251</v>
      </c>
      <c r="B90" s="48">
        <f>H85</f>
        <v>34000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32" customWidth="1"/>
    <col min="3" max="12" width="13" customWidth="1"/>
  </cols>
  <sheetData>
    <row r="1" spans="1:12" ht="24" customHeight="1" x14ac:dyDescent="0.25">
      <c r="A1" s="141" t="s">
        <v>252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 ht="13.5" customHeight="1" x14ac:dyDescent="0.25">
      <c r="A2" s="142" t="s">
        <v>253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4" spans="1:12" x14ac:dyDescent="0.25"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" t="s">
        <v>264</v>
      </c>
      <c r="C5" s="50">
        <f>SUM('Monthly Operations'!D11:O11)</f>
        <v>336000</v>
      </c>
      <c r="D5" s="50">
        <f>SUM('Monthly Operations'!P11:AA11)</f>
        <v>346080</v>
      </c>
      <c r="E5" s="50">
        <f>SUM('Monthly Operations'!AB11:AM11)</f>
        <v>356462.40000000008</v>
      </c>
      <c r="F5" s="50">
        <f>SUM('Monthly Operations'!AN11:AY11)</f>
        <v>367156.27200000011</v>
      </c>
      <c r="G5" s="50">
        <f>SUM('Monthly Operations'!AZ11:BK11)</f>
        <v>378170.96015999984</v>
      </c>
      <c r="H5" s="50">
        <f>SUM('Monthly Operations'!BL11:BW11)</f>
        <v>389516.08896479988</v>
      </c>
      <c r="I5" s="50">
        <f>SUM('Monthly Operations'!BX11:CI11)</f>
        <v>401201.571633744</v>
      </c>
      <c r="J5" s="50">
        <f>SUM('Monthly Operations'!CJ11:CU11)</f>
        <v>413237.61878275621</v>
      </c>
      <c r="K5" s="50">
        <f>SUM('Monthly Operations'!CV11:DG11)</f>
        <v>425634.74734623911</v>
      </c>
      <c r="L5" s="50">
        <f>SUM('Monthly Operations'!DH11:DS11)</f>
        <v>438403.78976662614</v>
      </c>
    </row>
    <row r="6" spans="1:12" x14ac:dyDescent="0.25">
      <c r="A6" s="51" t="s">
        <v>265</v>
      </c>
      <c r="C6" s="50">
        <f>SUM('Monthly Operations'!D12:O12)</f>
        <v>-63373.333333333328</v>
      </c>
      <c r="D6" s="50">
        <f>SUM('Monthly Operations'!P12:AA12)</f>
        <v>-31772.066666666637</v>
      </c>
      <c r="E6" s="50">
        <f>SUM('Monthly Operations'!AB12:AM12)</f>
        <v>-28516.991999999966</v>
      </c>
      <c r="F6" s="50">
        <f>SUM('Monthly Operations'!AN12:AY12)</f>
        <v>-29372.501759999966</v>
      </c>
      <c r="G6" s="50">
        <f>SUM('Monthly Operations'!AZ12:BK12)</f>
        <v>-30253.676812799957</v>
      </c>
      <c r="H6" s="50">
        <f>SUM('Monthly Operations'!BL12:BW12)</f>
        <v>-31161.287117183962</v>
      </c>
      <c r="I6" s="50">
        <f>SUM('Monthly Operations'!BX12:CI12)</f>
        <v>-32096.12573069947</v>
      </c>
      <c r="J6" s="50">
        <f>SUM('Monthly Operations'!CJ12:CU12)</f>
        <v>-33059.009502620473</v>
      </c>
      <c r="K6" s="50">
        <f>SUM('Monthly Operations'!CV12:DG12)</f>
        <v>-34050.779787699073</v>
      </c>
      <c r="L6" s="50">
        <f>SUM('Monthly Operations'!DH12:DS12)</f>
        <v>-35072.30318133004</v>
      </c>
    </row>
    <row r="7" spans="1:12" x14ac:dyDescent="0.25">
      <c r="A7" s="51" t="s">
        <v>266</v>
      </c>
      <c r="C7" s="50">
        <f>SUM('Monthly Operations'!D13:O13)</f>
        <v>-2726.2666666666664</v>
      </c>
      <c r="D7" s="50">
        <f>SUM('Monthly Operations'!P13:AA13)</f>
        <v>-3143.0793333333336</v>
      </c>
      <c r="E7" s="50">
        <f>SUM('Monthly Operations'!AB13:AM13)</f>
        <v>-3279.45408</v>
      </c>
      <c r="F7" s="50">
        <f>SUM('Monthly Operations'!AN13:AY13)</f>
        <v>-3377.8377023999997</v>
      </c>
      <c r="G7" s="50">
        <f>SUM('Monthly Operations'!AZ13:BK13)</f>
        <v>-3479.1728334719996</v>
      </c>
      <c r="H7" s="50">
        <f>SUM('Monthly Operations'!BL13:BW13)</f>
        <v>-3583.5480184761595</v>
      </c>
      <c r="I7" s="50">
        <f>SUM('Monthly Operations'!BX13:CI13)</f>
        <v>-3691.0544590304439</v>
      </c>
      <c r="J7" s="50">
        <f>SUM('Monthly Operations'!CJ13:CU13)</f>
        <v>-3801.7860928013597</v>
      </c>
      <c r="K7" s="50">
        <f>SUM('Monthly Operations'!CV13:DG13)</f>
        <v>-3915.8396755853987</v>
      </c>
      <c r="L7" s="50">
        <f>SUM('Monthly Operations'!DH13:DS13)</f>
        <v>-4033.3148658529608</v>
      </c>
    </row>
    <row r="8" spans="1:12" x14ac:dyDescent="0.25">
      <c r="A8" s="52" t="s">
        <v>267</v>
      </c>
      <c r="C8" s="53">
        <f>SUM('Monthly Operations'!D14:O14)</f>
        <v>269900.39999999997</v>
      </c>
      <c r="D8" s="53">
        <f>SUM('Monthly Operations'!P14:AA14)</f>
        <v>311164.85400000005</v>
      </c>
      <c r="E8" s="53">
        <f>SUM('Monthly Operations'!AB14:AM14)</f>
        <v>324665.95392</v>
      </c>
      <c r="F8" s="53">
        <f>SUM('Monthly Operations'!AN14:AY14)</f>
        <v>334405.93253760011</v>
      </c>
      <c r="G8" s="53">
        <f>SUM('Monthly Operations'!AZ14:BK14)</f>
        <v>344438.110513728</v>
      </c>
      <c r="H8" s="53">
        <f>SUM('Monthly Operations'!BL14:BW14)</f>
        <v>354771.25382913975</v>
      </c>
      <c r="I8" s="53">
        <f>SUM('Monthly Operations'!BX14:CI14)</f>
        <v>365414.39144401398</v>
      </c>
      <c r="J8" s="53">
        <f>SUM('Monthly Operations'!CJ14:CU14)</f>
        <v>376376.82318733452</v>
      </c>
      <c r="K8" s="53">
        <f>SUM('Monthly Operations'!CV14:DG14)</f>
        <v>387668.12788295461</v>
      </c>
      <c r="L8" s="53">
        <f>SUM('Monthly Operations'!DH14:DS14)</f>
        <v>399298.17171944311</v>
      </c>
    </row>
    <row r="9" spans="1:12" x14ac:dyDescent="0.25">
      <c r="A9" s="1" t="s">
        <v>268</v>
      </c>
      <c r="C9" s="50">
        <f>SUM('Monthly Operations'!D15:O15)</f>
        <v>33600</v>
      </c>
      <c r="D9" s="50">
        <f>SUM('Monthly Operations'!P15:AA15)</f>
        <v>34608</v>
      </c>
      <c r="E9" s="50">
        <f>SUM('Monthly Operations'!AB15:AM15)</f>
        <v>35646.239999999998</v>
      </c>
      <c r="F9" s="50">
        <f>SUM('Monthly Operations'!AN15:AY15)</f>
        <v>36715.62720000001</v>
      </c>
      <c r="G9" s="50">
        <f>SUM('Monthly Operations'!AZ15:BK15)</f>
        <v>37817.096015999996</v>
      </c>
      <c r="H9" s="50">
        <f>SUM('Monthly Operations'!BL15:BW15)</f>
        <v>38951.608896479993</v>
      </c>
      <c r="I9" s="50">
        <f>SUM('Monthly Operations'!BX15:CI15)</f>
        <v>40120.157163374395</v>
      </c>
      <c r="J9" s="50">
        <f>SUM('Monthly Operations'!CJ15:CU15)</f>
        <v>41323.761878275633</v>
      </c>
      <c r="K9" s="50">
        <f>SUM('Monthly Operations'!CV15:DG15)</f>
        <v>42563.474734623909</v>
      </c>
      <c r="L9" s="50">
        <f>SUM('Monthly Operations'!DH15:DS15)</f>
        <v>43840.378976662607</v>
      </c>
    </row>
    <row r="10" spans="1:12" x14ac:dyDescent="0.25">
      <c r="A10" s="1" t="s">
        <v>269</v>
      </c>
      <c r="C10" s="50">
        <f>SUM('Monthly Operations'!D16:O16)</f>
        <v>15578.666666666666</v>
      </c>
      <c r="D10" s="50">
        <f>SUM('Monthly Operations'!P16:AA16)</f>
        <v>17873.266666666663</v>
      </c>
      <c r="E10" s="50">
        <f>SUM('Monthly Operations'!AB16:AM16)</f>
        <v>18558.240000000002</v>
      </c>
      <c r="F10" s="50">
        <f>SUM('Monthly Operations'!AN16:AY16)</f>
        <v>19022.196000000004</v>
      </c>
      <c r="G10" s="50">
        <f>SUM('Monthly Operations'!AZ16:BK16)</f>
        <v>19497.750899999999</v>
      </c>
      <c r="H10" s="50">
        <f>SUM('Monthly Operations'!BL16:BW16)</f>
        <v>19985.194672499991</v>
      </c>
      <c r="I10" s="50">
        <f>SUM('Monthly Operations'!BX16:CI16)</f>
        <v>20484.824539312496</v>
      </c>
      <c r="J10" s="50">
        <f>SUM('Monthly Operations'!CJ16:CU16)</f>
        <v>20996.94515279531</v>
      </c>
      <c r="K10" s="50">
        <f>SUM('Monthly Operations'!CV16:DG16)</f>
        <v>21521.868781615191</v>
      </c>
      <c r="L10" s="50">
        <f>SUM('Monthly Operations'!DH16:DS16)</f>
        <v>22059.91550115557</v>
      </c>
    </row>
    <row r="11" spans="1:12" x14ac:dyDescent="0.25">
      <c r="A11" s="1" t="s">
        <v>270</v>
      </c>
      <c r="C11" s="50">
        <f>SUM('Monthly Operations'!D17:O17)</f>
        <v>11684</v>
      </c>
      <c r="D11" s="50">
        <f>SUM('Monthly Operations'!P17:AA17)</f>
        <v>13470.340000000006</v>
      </c>
      <c r="E11" s="50">
        <f>SUM('Monthly Operations'!AB17:AM17)</f>
        <v>14054.8032</v>
      </c>
      <c r="F11" s="50">
        <f>SUM('Monthly Operations'!AN17:AY17)</f>
        <v>14476.447296000006</v>
      </c>
      <c r="G11" s="50">
        <f>SUM('Monthly Operations'!AZ17:BK17)</f>
        <v>14910.740714880005</v>
      </c>
      <c r="H11" s="50">
        <f>SUM('Monthly Operations'!BL17:BW17)</f>
        <v>15358.062936326402</v>
      </c>
      <c r="I11" s="50">
        <f>SUM('Monthly Operations'!BX17:CI17)</f>
        <v>15818.804824416193</v>
      </c>
      <c r="J11" s="50">
        <f>SUM('Monthly Operations'!CJ17:CU17)</f>
        <v>16293.36896914868</v>
      </c>
      <c r="K11" s="50">
        <f>SUM('Monthly Operations'!CV17:DG17)</f>
        <v>16782.170038223143</v>
      </c>
      <c r="L11" s="50">
        <f>SUM('Monthly Operations'!DH17:DS17)</f>
        <v>17285.635139369835</v>
      </c>
    </row>
    <row r="12" spans="1:12" x14ac:dyDescent="0.25">
      <c r="A12" s="54" t="s">
        <v>271</v>
      </c>
      <c r="C12" s="55">
        <f>SUM('Monthly Operations'!D18:O18)</f>
        <v>330763.06666666677</v>
      </c>
      <c r="D12" s="55">
        <f>SUM('Monthly Operations'!P18:AA18)</f>
        <v>377116.46066666662</v>
      </c>
      <c r="E12" s="55">
        <f>SUM('Monthly Operations'!AB18:AM18)</f>
        <v>392925.23712000001</v>
      </c>
      <c r="F12" s="55">
        <f>SUM('Monthly Operations'!AN18:AY18)</f>
        <v>404620.20303359994</v>
      </c>
      <c r="G12" s="55">
        <f>SUM('Monthly Operations'!AZ18:BK18)</f>
        <v>416663.698144608</v>
      </c>
      <c r="H12" s="55">
        <f>SUM('Monthly Operations'!BL18:BW18)</f>
        <v>429066.12033444626</v>
      </c>
      <c r="I12" s="55">
        <f>SUM('Monthly Operations'!BX18:CI18)</f>
        <v>441838.17797111714</v>
      </c>
      <c r="J12" s="55">
        <f>SUM('Monthly Operations'!CJ18:CU18)</f>
        <v>454990.89918755437</v>
      </c>
      <c r="K12" s="55">
        <f>SUM('Monthly Operations'!CV18:DG18)</f>
        <v>468535.64143741672</v>
      </c>
      <c r="L12" s="55">
        <f>SUM('Monthly Operations'!DH18:DS18)</f>
        <v>482484.10133663105</v>
      </c>
    </row>
    <row r="14" spans="1:12" x14ac:dyDescent="0.25">
      <c r="A14" s="46" t="s">
        <v>272</v>
      </c>
      <c r="C14" s="56">
        <f>'Monthly Operations'!O9</f>
        <v>0.86333333333333351</v>
      </c>
      <c r="D14" s="56">
        <f>'Monthly Operations'!AA9</f>
        <v>0.92000000000000015</v>
      </c>
      <c r="E14" s="56">
        <f>'Monthly Operations'!AM9</f>
        <v>0.92000000000000015</v>
      </c>
      <c r="F14" s="56">
        <f>'Monthly Operations'!AY9</f>
        <v>0.92000000000000015</v>
      </c>
      <c r="G14" s="56">
        <f>'Monthly Operations'!BK9</f>
        <v>0.92000000000000015</v>
      </c>
      <c r="H14" s="56">
        <f>'Monthly Operations'!BW9</f>
        <v>0.92000000000000015</v>
      </c>
      <c r="I14" s="56">
        <f>'Monthly Operations'!CI9</f>
        <v>0.92000000000000015</v>
      </c>
      <c r="J14" s="56">
        <f>'Monthly Operations'!CU9</f>
        <v>0.92000000000000015</v>
      </c>
      <c r="K14" s="56">
        <f>'Monthly Operations'!DG9</f>
        <v>0.92000000000000015</v>
      </c>
      <c r="L14" s="56">
        <f>'Monthly Operations'!DS9</f>
        <v>0.92000000000000015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zoomScaleNormal="100" workbookViewId="0">
      <selection activeCell="C21" sqref="C21:L21"/>
    </sheetView>
  </sheetViews>
  <sheetFormatPr defaultColWidth="8.7109375" defaultRowHeight="15" x14ac:dyDescent="0.25"/>
  <cols>
    <col min="1" max="1" width="32" customWidth="1"/>
    <col min="3" max="12" width="13" customWidth="1"/>
  </cols>
  <sheetData>
    <row r="1" spans="1:12" ht="24" customHeight="1" x14ac:dyDescent="0.25">
      <c r="A1" s="141" t="s">
        <v>273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 ht="13.5" customHeight="1" x14ac:dyDescent="0.25">
      <c r="A2" s="142" t="s">
        <v>274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4" spans="1:12" x14ac:dyDescent="0.25"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" t="s">
        <v>85</v>
      </c>
      <c r="C5" s="50">
        <f>SUM('Monthly Operations'!D20:O20)</f>
        <v>-45000</v>
      </c>
      <c r="D5" s="50">
        <f>SUM('Monthly Operations'!P20:AA20)</f>
        <v>-46124.999999999993</v>
      </c>
      <c r="E5" s="50">
        <f>SUM('Monthly Operations'!AB20:AM20)</f>
        <v>-47278.124999999993</v>
      </c>
      <c r="F5" s="50">
        <f>SUM('Monthly Operations'!AN20:AY20)</f>
        <v>-48460.078124999993</v>
      </c>
      <c r="G5" s="50">
        <f>SUM('Monthly Operations'!AZ20:BK20)</f>
        <v>-49671.580078124993</v>
      </c>
      <c r="H5" s="50">
        <f>SUM('Monthly Operations'!BL20:BW20)</f>
        <v>-50913.369580078121</v>
      </c>
      <c r="I5" s="50">
        <f>SUM('Monthly Operations'!BX20:CI20)</f>
        <v>-52186.203819580078</v>
      </c>
      <c r="J5" s="50">
        <f>SUM('Monthly Operations'!CJ20:CU20)</f>
        <v>-53490.858915069555</v>
      </c>
      <c r="K5" s="50">
        <f>SUM('Monthly Operations'!CV20:DG20)</f>
        <v>-54828.130387946287</v>
      </c>
      <c r="L5" s="50">
        <f>SUM('Monthly Operations'!DH20:DS20)</f>
        <v>-56198.833647644933</v>
      </c>
    </row>
    <row r="6" spans="1:12" x14ac:dyDescent="0.25">
      <c r="A6" s="1" t="s">
        <v>86</v>
      </c>
      <c r="C6" s="50">
        <f>SUM('Monthly Operations'!D21:O21)</f>
        <v>-20000</v>
      </c>
      <c r="D6" s="50">
        <f>SUM('Monthly Operations'!P21:AA21)</f>
        <v>-20500</v>
      </c>
      <c r="E6" s="50">
        <f>SUM('Monthly Operations'!AB21:AM21)</f>
        <v>-21012.5</v>
      </c>
      <c r="F6" s="50">
        <f>SUM('Monthly Operations'!AN21:AY21)</f>
        <v>-21537.8125</v>
      </c>
      <c r="G6" s="50">
        <f>SUM('Monthly Operations'!AZ21:BK21)</f>
        <v>-22076.2578125</v>
      </c>
      <c r="H6" s="50">
        <f>SUM('Monthly Operations'!BL21:BW21)</f>
        <v>-22628.164257812499</v>
      </c>
      <c r="I6" s="50">
        <f>SUM('Monthly Operations'!BX21:CI21)</f>
        <v>-23193.868364257811</v>
      </c>
      <c r="J6" s="50">
        <f>SUM('Monthly Operations'!CJ21:CU21)</f>
        <v>-23773.715073364248</v>
      </c>
      <c r="K6" s="50">
        <f>SUM('Monthly Operations'!CV21:DG21)</f>
        <v>-24368.057950198356</v>
      </c>
      <c r="L6" s="50">
        <f>SUM('Monthly Operations'!DH21:DS21)</f>
        <v>-24977.259398953309</v>
      </c>
    </row>
    <row r="7" spans="1:12" x14ac:dyDescent="0.25">
      <c r="A7" s="1" t="s">
        <v>87</v>
      </c>
      <c r="C7" s="50">
        <f>SUM('Monthly Operations'!D22:O22)</f>
        <v>-12000</v>
      </c>
      <c r="D7" s="50">
        <f>SUM('Monthly Operations'!P22:AA22)</f>
        <v>-12300</v>
      </c>
      <c r="E7" s="50">
        <f>SUM('Monthly Operations'!AB22:AM22)</f>
        <v>-12607.5</v>
      </c>
      <c r="F7" s="50">
        <f>SUM('Monthly Operations'!AN22:AY22)</f>
        <v>-12922.687499999998</v>
      </c>
      <c r="G7" s="50">
        <f>SUM('Monthly Operations'!AZ22:BK22)</f>
        <v>-13245.754687499999</v>
      </c>
      <c r="H7" s="50">
        <f>SUM('Monthly Operations'!BL22:BW22)</f>
        <v>-13576.898554687496</v>
      </c>
      <c r="I7" s="50">
        <f>SUM('Monthly Operations'!BX22:CI22)</f>
        <v>-13916.32101855468</v>
      </c>
      <c r="J7" s="50">
        <f>SUM('Monthly Operations'!CJ22:CU22)</f>
        <v>-14264.229044018552</v>
      </c>
      <c r="K7" s="50">
        <f>SUM('Monthly Operations'!CV22:DG22)</f>
        <v>-14620.834770119009</v>
      </c>
      <c r="L7" s="50">
        <f>SUM('Monthly Operations'!DH22:DS22)</f>
        <v>-14986.35563937199</v>
      </c>
    </row>
    <row r="8" spans="1:12" x14ac:dyDescent="0.25">
      <c r="A8" s="1" t="s">
        <v>88</v>
      </c>
      <c r="C8" s="50">
        <f>SUM('Monthly Operations'!D23:O23)</f>
        <v>-3000</v>
      </c>
      <c r="D8" s="50">
        <f>SUM('Monthly Operations'!P23:AA23)</f>
        <v>-3075</v>
      </c>
      <c r="E8" s="50">
        <f>SUM('Monthly Operations'!AB23:AM23)</f>
        <v>-3151.875</v>
      </c>
      <c r="F8" s="50">
        <f>SUM('Monthly Operations'!AN23:AY23)</f>
        <v>-3230.6718749999995</v>
      </c>
      <c r="G8" s="50">
        <f>SUM('Monthly Operations'!AZ23:BK23)</f>
        <v>-3311.4386718749997</v>
      </c>
      <c r="H8" s="50">
        <f>SUM('Monthly Operations'!BL23:BW23)</f>
        <v>-3394.2246386718739</v>
      </c>
      <c r="I8" s="50">
        <f>SUM('Monthly Operations'!BX23:CI23)</f>
        <v>-3479.0802546386699</v>
      </c>
      <c r="J8" s="50">
        <f>SUM('Monthly Operations'!CJ23:CU23)</f>
        <v>-3566.0572610046379</v>
      </c>
      <c r="K8" s="50">
        <f>SUM('Monthly Operations'!CV23:DG23)</f>
        <v>-3655.2086925297522</v>
      </c>
      <c r="L8" s="50">
        <f>SUM('Monthly Operations'!DH23:DS23)</f>
        <v>-3746.5889098429975</v>
      </c>
    </row>
    <row r="9" spans="1:12" x14ac:dyDescent="0.25">
      <c r="A9" s="1" t="s">
        <v>89</v>
      </c>
      <c r="C9" s="50">
        <f>SUM('Monthly Operations'!D24:O24)</f>
        <v>-30000</v>
      </c>
      <c r="D9" s="50">
        <f>SUM('Monthly Operations'!P24:AA24)</f>
        <v>-30750</v>
      </c>
      <c r="E9" s="50">
        <f>SUM('Monthly Operations'!AB24:AM24)</f>
        <v>-31518.75</v>
      </c>
      <c r="F9" s="50">
        <f>SUM('Monthly Operations'!AN24:AY24)</f>
        <v>-32306.718749999996</v>
      </c>
      <c r="G9" s="50">
        <f>SUM('Monthly Operations'!AZ24:BK24)</f>
        <v>-33114.386718749993</v>
      </c>
      <c r="H9" s="50">
        <f>SUM('Monthly Operations'!BL24:BW24)</f>
        <v>-33942.24638671874</v>
      </c>
      <c r="I9" s="50">
        <f>SUM('Monthly Operations'!BX24:CI24)</f>
        <v>-34790.802546386702</v>
      </c>
      <c r="J9" s="50">
        <f>SUM('Monthly Operations'!CJ24:CU24)</f>
        <v>-35660.57261004638</v>
      </c>
      <c r="K9" s="50">
        <f>SUM('Monthly Operations'!CV24:DG24)</f>
        <v>-36552.086925297532</v>
      </c>
      <c r="L9" s="50">
        <f>SUM('Monthly Operations'!DH24:DS24)</f>
        <v>-37465.889098429965</v>
      </c>
    </row>
    <row r="10" spans="1:12" x14ac:dyDescent="0.25">
      <c r="A10" s="1" t="s">
        <v>90</v>
      </c>
      <c r="C10" s="50">
        <f>SUM('Monthly Operations'!D25:O25)</f>
        <v>-24999.999999999996</v>
      </c>
      <c r="D10" s="50">
        <f>SUM('Monthly Operations'!P25:AA25)</f>
        <v>-25625.000000000004</v>
      </c>
      <c r="E10" s="50">
        <f>SUM('Monthly Operations'!AB25:AM25)</f>
        <v>-26265.624999999996</v>
      </c>
      <c r="F10" s="50">
        <f>SUM('Monthly Operations'!AN25:AY25)</f>
        <v>-26922.265625000004</v>
      </c>
      <c r="G10" s="50">
        <f>SUM('Monthly Operations'!AZ25:BK25)</f>
        <v>-27595.322265624989</v>
      </c>
      <c r="H10" s="50">
        <f>SUM('Monthly Operations'!BL25:BW25)</f>
        <v>-28285.20532226561</v>
      </c>
      <c r="I10" s="50">
        <f>SUM('Monthly Operations'!BX25:CI25)</f>
        <v>-28992.335455322256</v>
      </c>
      <c r="J10" s="50">
        <f>SUM('Monthly Operations'!CJ25:CU25)</f>
        <v>-29717.143841705314</v>
      </c>
      <c r="K10" s="50">
        <f>SUM('Monthly Operations'!CV25:DG25)</f>
        <v>-30460.072437747946</v>
      </c>
      <c r="L10" s="50">
        <f>SUM('Monthly Operations'!DH25:DS25)</f>
        <v>-31221.574248691639</v>
      </c>
    </row>
    <row r="11" spans="1:12" x14ac:dyDescent="0.25">
      <c r="A11" s="1" t="s">
        <v>91</v>
      </c>
      <c r="C11" s="50">
        <f>SUM('Monthly Operations'!D26:O26)</f>
        <v>-35000.000000000007</v>
      </c>
      <c r="D11" s="50">
        <f>SUM('Monthly Operations'!P26:AA26)</f>
        <v>-35874.999999999993</v>
      </c>
      <c r="E11" s="50">
        <f>SUM('Monthly Operations'!AB26:AM26)</f>
        <v>-36771.874999999985</v>
      </c>
      <c r="F11" s="50">
        <f>SUM('Monthly Operations'!AN26:AY26)</f>
        <v>-37691.171874999993</v>
      </c>
      <c r="G11" s="50">
        <f>SUM('Monthly Operations'!AZ26:BK26)</f>
        <v>-38633.451171874978</v>
      </c>
      <c r="H11" s="50">
        <f>SUM('Monthly Operations'!BL26:BW26)</f>
        <v>-39599.287451171862</v>
      </c>
      <c r="I11" s="50">
        <f>SUM('Monthly Operations'!BX26:CI26)</f>
        <v>-40589.269637451158</v>
      </c>
      <c r="J11" s="50">
        <f>SUM('Monthly Operations'!CJ26:CU26)</f>
        <v>-41604.001378387446</v>
      </c>
      <c r="K11" s="50">
        <f>SUM('Monthly Operations'!CV26:DG26)</f>
        <v>-42644.101412847114</v>
      </c>
      <c r="L11" s="50">
        <f>SUM('Monthly Operations'!DH26:DS26)</f>
        <v>-43710.203948168295</v>
      </c>
    </row>
    <row r="12" spans="1:12" x14ac:dyDescent="0.25">
      <c r="A12" s="1" t="s">
        <v>92</v>
      </c>
      <c r="C12" s="50">
        <f>SUM('Monthly Operations'!D27:O27)</f>
        <v>-4000.0000000000005</v>
      </c>
      <c r="D12" s="50">
        <f>SUM('Monthly Operations'!P27:AA27)</f>
        <v>-4099.9999999999991</v>
      </c>
      <c r="E12" s="50">
        <f>SUM('Monthly Operations'!AB27:AM27)</f>
        <v>-4202.5000000000009</v>
      </c>
      <c r="F12" s="50">
        <f>SUM('Monthly Operations'!AN27:AY27)</f>
        <v>-4307.5624999999991</v>
      </c>
      <c r="G12" s="50">
        <f>SUM('Monthly Operations'!AZ27:BK27)</f>
        <v>-4415.2515624999987</v>
      </c>
      <c r="H12" s="50">
        <f>SUM('Monthly Operations'!BL27:BW27)</f>
        <v>-4525.6328515624982</v>
      </c>
      <c r="I12" s="50">
        <f>SUM('Monthly Operations'!BX27:CI27)</f>
        <v>-4638.7736728515611</v>
      </c>
      <c r="J12" s="50">
        <f>SUM('Monthly Operations'!CJ27:CU27)</f>
        <v>-4754.7430146728502</v>
      </c>
      <c r="K12" s="50">
        <f>SUM('Monthly Operations'!CV27:DG27)</f>
        <v>-4873.6115900396708</v>
      </c>
      <c r="L12" s="50">
        <f>SUM('Monthly Operations'!DH27:DS27)</f>
        <v>-4995.4518797906603</v>
      </c>
    </row>
    <row r="13" spans="1:12" x14ac:dyDescent="0.25">
      <c r="A13" s="1" t="s">
        <v>275</v>
      </c>
      <c r="C13" s="50">
        <f>SUM('Monthly Operations'!D28:O28)</f>
        <v>-8000.0000000000009</v>
      </c>
      <c r="D13" s="50">
        <f>SUM('Monthly Operations'!P28:AA28)</f>
        <v>-8199.9999999999982</v>
      </c>
      <c r="E13" s="50">
        <f>SUM('Monthly Operations'!AB28:AM28)</f>
        <v>-8405.0000000000018</v>
      </c>
      <c r="F13" s="50">
        <f>SUM('Monthly Operations'!AN28:AY28)</f>
        <v>-8615.1249999999982</v>
      </c>
      <c r="G13" s="50">
        <f>SUM('Monthly Operations'!AZ28:BK28)</f>
        <v>-8830.5031249999975</v>
      </c>
      <c r="H13" s="50">
        <f>SUM('Monthly Operations'!BL28:BW28)</f>
        <v>-9051.2657031249964</v>
      </c>
      <c r="I13" s="50">
        <f>SUM('Monthly Operations'!BX28:CI28)</f>
        <v>-9277.5473457031221</v>
      </c>
      <c r="J13" s="50">
        <f>SUM('Monthly Operations'!CJ28:CU28)</f>
        <v>-9509.4860293457004</v>
      </c>
      <c r="K13" s="50">
        <f>SUM('Monthly Operations'!CV28:DG28)</f>
        <v>-9747.2231800793415</v>
      </c>
      <c r="L13" s="50">
        <f>SUM('Monthly Operations'!DH28:DS28)</f>
        <v>-9990.9037595813206</v>
      </c>
    </row>
    <row r="14" spans="1:12" x14ac:dyDescent="0.25">
      <c r="A14" s="1" t="s">
        <v>94</v>
      </c>
      <c r="C14" s="50">
        <f>SUM('Monthly Operations'!D29:O29)</f>
        <v>-6000</v>
      </c>
      <c r="D14" s="50">
        <f>SUM('Monthly Operations'!P29:AA29)</f>
        <v>-6150</v>
      </c>
      <c r="E14" s="50">
        <f>SUM('Monthly Operations'!AB29:AM29)</f>
        <v>-6303.75</v>
      </c>
      <c r="F14" s="50">
        <f>SUM('Monthly Operations'!AN29:AY29)</f>
        <v>-6461.3437499999991</v>
      </c>
      <c r="G14" s="50">
        <f>SUM('Monthly Operations'!AZ29:BK29)</f>
        <v>-6622.8773437499995</v>
      </c>
      <c r="H14" s="50">
        <f>SUM('Monthly Operations'!BL29:BW29)</f>
        <v>-6788.4492773437478</v>
      </c>
      <c r="I14" s="50">
        <f>SUM('Monthly Operations'!BX29:CI29)</f>
        <v>-6958.1605092773398</v>
      </c>
      <c r="J14" s="50">
        <f>SUM('Monthly Operations'!CJ29:CU29)</f>
        <v>-7132.1145220092758</v>
      </c>
      <c r="K14" s="50">
        <f>SUM('Monthly Operations'!CV29:DG29)</f>
        <v>-7310.4173850595043</v>
      </c>
      <c r="L14" s="50">
        <f>SUM('Monthly Operations'!DH29:DS29)</f>
        <v>-7493.177819685995</v>
      </c>
    </row>
    <row r="15" spans="1:12" x14ac:dyDescent="0.25">
      <c r="A15" s="1" t="s">
        <v>95</v>
      </c>
      <c r="C15" s="50">
        <f>SUM('Monthly Operations'!D30:O30)</f>
        <v>-10000</v>
      </c>
      <c r="D15" s="50">
        <f>SUM('Monthly Operations'!P30:AA30)</f>
        <v>-10250</v>
      </c>
      <c r="E15" s="50">
        <f>SUM('Monthly Operations'!AB30:AM30)</f>
        <v>-10506.25</v>
      </c>
      <c r="F15" s="50">
        <f>SUM('Monthly Operations'!AN30:AY30)</f>
        <v>-10768.90625</v>
      </c>
      <c r="G15" s="50">
        <f>SUM('Monthly Operations'!AZ30:BK30)</f>
        <v>-11038.12890625</v>
      </c>
      <c r="H15" s="50">
        <f>SUM('Monthly Operations'!BL30:BW30)</f>
        <v>-11314.08212890625</v>
      </c>
      <c r="I15" s="50">
        <f>SUM('Monthly Operations'!BX30:CI30)</f>
        <v>-11596.934182128905</v>
      </c>
      <c r="J15" s="50">
        <f>SUM('Monthly Operations'!CJ30:CU30)</f>
        <v>-11886.857536682124</v>
      </c>
      <c r="K15" s="50">
        <f>SUM('Monthly Operations'!CV30:DG30)</f>
        <v>-12184.028975099178</v>
      </c>
      <c r="L15" s="50">
        <f>SUM('Monthly Operations'!DH30:DS30)</f>
        <v>-12488.629699476654</v>
      </c>
    </row>
    <row r="16" spans="1:12" x14ac:dyDescent="0.25">
      <c r="A16" s="1" t="s">
        <v>96</v>
      </c>
      <c r="C16" s="50">
        <f>SUM('Monthly Operations'!D31:O31)</f>
        <v>-5000</v>
      </c>
      <c r="D16" s="50">
        <f>SUM('Monthly Operations'!P31:AA31)</f>
        <v>-5125</v>
      </c>
      <c r="E16" s="50">
        <f>SUM('Monthly Operations'!AB31:AM31)</f>
        <v>-5253.125</v>
      </c>
      <c r="F16" s="50">
        <f>SUM('Monthly Operations'!AN31:AY31)</f>
        <v>-5384.453125</v>
      </c>
      <c r="G16" s="50">
        <f>SUM('Monthly Operations'!AZ31:BK31)</f>
        <v>-5519.064453125</v>
      </c>
      <c r="H16" s="50">
        <f>SUM('Monthly Operations'!BL31:BW31)</f>
        <v>-5657.0410644531248</v>
      </c>
      <c r="I16" s="50">
        <f>SUM('Monthly Operations'!BX31:CI31)</f>
        <v>-5798.4670910644527</v>
      </c>
      <c r="J16" s="50">
        <f>SUM('Monthly Operations'!CJ31:CU31)</f>
        <v>-5943.4287683410621</v>
      </c>
      <c r="K16" s="50">
        <f>SUM('Monthly Operations'!CV31:DG31)</f>
        <v>-6092.0144875495889</v>
      </c>
      <c r="L16" s="50">
        <f>SUM('Monthly Operations'!DH31:DS31)</f>
        <v>-6244.3148497383272</v>
      </c>
    </row>
    <row r="17" spans="1:12" x14ac:dyDescent="0.25">
      <c r="A17" s="1" t="s">
        <v>97</v>
      </c>
      <c r="C17" s="50">
        <f>SUM('Monthly Operations'!D32:O32)</f>
        <v>-8000.0000000000009</v>
      </c>
      <c r="D17" s="50">
        <f>SUM('Monthly Operations'!P32:AA32)</f>
        <v>-8199.9999999999982</v>
      </c>
      <c r="E17" s="50">
        <f>SUM('Monthly Operations'!AB32:AM32)</f>
        <v>-8405.0000000000018</v>
      </c>
      <c r="F17" s="50">
        <f>SUM('Monthly Operations'!AN32:AY32)</f>
        <v>-8615.1249999999982</v>
      </c>
      <c r="G17" s="50">
        <f>SUM('Monthly Operations'!AZ32:BK32)</f>
        <v>-8830.5031249999975</v>
      </c>
      <c r="H17" s="50">
        <f>SUM('Monthly Operations'!BL32:BW32)</f>
        <v>-9051.2657031249964</v>
      </c>
      <c r="I17" s="50">
        <f>SUM('Monthly Operations'!BX32:CI32)</f>
        <v>-9277.5473457031221</v>
      </c>
      <c r="J17" s="50">
        <f>SUM('Monthly Operations'!CJ32:CU32)</f>
        <v>-9509.4860293457004</v>
      </c>
      <c r="K17" s="50">
        <f>SUM('Monthly Operations'!CV32:DG32)</f>
        <v>-9747.2231800793415</v>
      </c>
      <c r="L17" s="50">
        <f>SUM('Monthly Operations'!DH32:DS32)</f>
        <v>-9990.9037595813206</v>
      </c>
    </row>
    <row r="18" spans="1:12" x14ac:dyDescent="0.25">
      <c r="A18" s="1" t="s">
        <v>98</v>
      </c>
      <c r="C18" s="50">
        <f>SUM('Monthly Operations'!D33:O33)</f>
        <v>-12000</v>
      </c>
      <c r="D18" s="50">
        <f>SUM('Monthly Operations'!P33:AA33)</f>
        <v>-12300</v>
      </c>
      <c r="E18" s="50">
        <f>SUM('Monthly Operations'!AB33:AM33)</f>
        <v>-12607.5</v>
      </c>
      <c r="F18" s="50">
        <f>SUM('Monthly Operations'!AN33:AY33)</f>
        <v>-12922.687499999998</v>
      </c>
      <c r="G18" s="50">
        <f>SUM('Monthly Operations'!AZ33:BK33)</f>
        <v>-13245.754687499999</v>
      </c>
      <c r="H18" s="50">
        <f>SUM('Monthly Operations'!BL33:BW33)</f>
        <v>-13576.898554687496</v>
      </c>
      <c r="I18" s="50">
        <f>SUM('Monthly Operations'!BX33:CI33)</f>
        <v>-13916.32101855468</v>
      </c>
      <c r="J18" s="50">
        <f>SUM('Monthly Operations'!CJ33:CU33)</f>
        <v>-14264.229044018552</v>
      </c>
      <c r="K18" s="50">
        <f>SUM('Monthly Operations'!CV33:DG33)</f>
        <v>-14620.834770119009</v>
      </c>
      <c r="L18" s="50">
        <f>SUM('Monthly Operations'!DH33:DS33)</f>
        <v>-14986.35563937199</v>
      </c>
    </row>
    <row r="19" spans="1:12" x14ac:dyDescent="0.25">
      <c r="A19" s="1" t="s">
        <v>99</v>
      </c>
      <c r="C19" s="50">
        <f>SUM('Monthly Operations'!D34:O34)</f>
        <v>-6000</v>
      </c>
      <c r="D19" s="50">
        <f>SUM('Monthly Operations'!P34:AA34)</f>
        <v>-6150</v>
      </c>
      <c r="E19" s="50">
        <f>SUM('Monthly Operations'!AB34:AM34)</f>
        <v>-6303.75</v>
      </c>
      <c r="F19" s="50">
        <f>SUM('Monthly Operations'!AN34:AY34)</f>
        <v>-6461.3437499999991</v>
      </c>
      <c r="G19" s="50">
        <f>SUM('Monthly Operations'!AZ34:BK34)</f>
        <v>-6622.8773437499995</v>
      </c>
      <c r="H19" s="50">
        <f>SUM('Monthly Operations'!BL34:BW34)</f>
        <v>-6788.4492773437478</v>
      </c>
      <c r="I19" s="50">
        <f>SUM('Monthly Operations'!BX34:CI34)</f>
        <v>-6958.1605092773398</v>
      </c>
      <c r="J19" s="50">
        <f>SUM('Monthly Operations'!CJ34:CU34)</f>
        <v>-7132.1145220092758</v>
      </c>
      <c r="K19" s="50">
        <f>SUM('Monthly Operations'!CV34:DG34)</f>
        <v>-7310.4173850595043</v>
      </c>
      <c r="L19" s="50">
        <f>SUM('Monthly Operations'!DH34:DS34)</f>
        <v>-7493.177819685995</v>
      </c>
    </row>
    <row r="20" spans="1:12" x14ac:dyDescent="0.25">
      <c r="A20" s="1" t="s">
        <v>100</v>
      </c>
      <c r="C20" s="50">
        <f>SUM('Monthly Operations'!D35:O35)</f>
        <v>-16538.153333333335</v>
      </c>
      <c r="D20" s="50">
        <f>SUM('Monthly Operations'!P35:AA35)</f>
        <v>-18855.823033333334</v>
      </c>
      <c r="E20" s="50">
        <f>SUM('Monthly Operations'!AB35:AM35)</f>
        <v>-19646.261856000001</v>
      </c>
      <c r="F20" s="50">
        <f>SUM('Monthly Operations'!AN35:AY35)</f>
        <v>-20231.010151680002</v>
      </c>
      <c r="G20" s="50">
        <f>SUM('Monthly Operations'!AZ35:BK35)</f>
        <v>-20833.184907230396</v>
      </c>
      <c r="H20" s="50">
        <f>SUM('Monthly Operations'!BL35:BW35)</f>
        <v>-21453.306016722308</v>
      </c>
      <c r="I20" s="50">
        <f>SUM('Monthly Operations'!BX35:CI35)</f>
        <v>-22091.908898555859</v>
      </c>
      <c r="J20" s="50">
        <f>SUM('Monthly Operations'!CJ35:CU35)</f>
        <v>-22749.544959377716</v>
      </c>
      <c r="K20" s="50">
        <f>SUM('Monthly Operations'!CV35:DG35)</f>
        <v>-23426.782071870835</v>
      </c>
      <c r="L20" s="50">
        <f>SUM('Monthly Operations'!DH35:DS35)</f>
        <v>-24124.205066831553</v>
      </c>
    </row>
    <row r="21" spans="1:12" x14ac:dyDescent="0.25">
      <c r="A21" s="54" t="s">
        <v>276</v>
      </c>
      <c r="C21" s="55">
        <f>SUM('Monthly Operations'!D36:O36)</f>
        <v>-245538.15333333335</v>
      </c>
      <c r="D21" s="55">
        <f>SUM('Monthly Operations'!P36:AA36)</f>
        <v>-253580.82303333329</v>
      </c>
      <c r="E21" s="55">
        <f>SUM('Monthly Operations'!AB36:AM36)</f>
        <v>-260239.38685599997</v>
      </c>
      <c r="F21" s="55">
        <f>SUM('Monthly Operations'!AN36:AY36)</f>
        <v>-266838.96327667998</v>
      </c>
      <c r="G21" s="55">
        <f>SUM('Monthly Operations'!AZ36:BK36)</f>
        <v>-273606.33686035534</v>
      </c>
      <c r="H21" s="55">
        <f>SUM('Monthly Operations'!BL36:BW36)</f>
        <v>-280545.78676867526</v>
      </c>
      <c r="I21" s="55">
        <f>SUM('Monthly Operations'!BX36:CI36)</f>
        <v>-287661.70166930766</v>
      </c>
      <c r="J21" s="55">
        <f>SUM('Monthly Operations'!CJ36:CU36)</f>
        <v>-294958.58254939836</v>
      </c>
      <c r="K21" s="55">
        <f>SUM('Monthly Operations'!CV36:DG36)</f>
        <v>-302441.04560164205</v>
      </c>
      <c r="L21" s="55">
        <f>SUM('Monthly Operations'!DH36:DS36)</f>
        <v>-310113.82518484694</v>
      </c>
    </row>
    <row r="23" spans="1:12" x14ac:dyDescent="0.25">
      <c r="A23" s="46" t="s">
        <v>277</v>
      </c>
      <c r="C23" s="57">
        <f>IFERROR(-C21/Revenue!C12,0)</f>
        <v>0.7423384835791822</v>
      </c>
      <c r="D23" s="57">
        <f>IFERROR(-D21/Revenue!D12,0)</f>
        <v>0.67242045755587809</v>
      </c>
      <c r="E23" s="57">
        <f>IFERROR(-E21/Revenue!E12,0)</f>
        <v>0.66231273094968557</v>
      </c>
      <c r="F23" s="57">
        <f>IFERROR(-F21/Revenue!F12,0)</f>
        <v>0.65948007854299229</v>
      </c>
      <c r="G23" s="57">
        <f>IFERROR(-G21/Revenue!G12,0)</f>
        <v>0.65665988680731446</v>
      </c>
      <c r="H23" s="57">
        <f>IFERROR(-H21/Revenue!H12,0)</f>
        <v>0.65385210687340423</v>
      </c>
      <c r="I23" s="57">
        <f>IFERROR(-I21/Revenue!I12,0)</f>
        <v>0.65105669000860322</v>
      </c>
      <c r="J23" s="57">
        <f>IFERROR(-J21/Revenue!J12,0)</f>
        <v>0.64827358761699494</v>
      </c>
      <c r="K23" s="57">
        <f>IFERROR(-K21/Revenue!K12,0)</f>
        <v>0.64550275123955481</v>
      </c>
      <c r="L23" s="57">
        <f>IFERROR(-L21/Revenue!L12,0)</f>
        <v>0.64274413255428553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showGridLines="0" zoomScaleNormal="100" workbookViewId="0">
      <selection activeCell="B12" sqref="B12"/>
    </sheetView>
  </sheetViews>
  <sheetFormatPr defaultColWidth="8.7109375" defaultRowHeight="15" x14ac:dyDescent="0.25"/>
  <cols>
    <col min="1" max="1" width="32" customWidth="1"/>
    <col min="3" max="12" width="13" customWidth="1"/>
  </cols>
  <sheetData>
    <row r="1" spans="1:12" ht="24" customHeight="1" x14ac:dyDescent="0.25">
      <c r="A1" s="141" t="s">
        <v>101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 ht="13.5" customHeight="1" x14ac:dyDescent="0.25">
      <c r="A2" s="142" t="s">
        <v>278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4" spans="1:12" x14ac:dyDescent="0.25">
      <c r="A4" s="143" t="s">
        <v>279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2" x14ac:dyDescent="0.25">
      <c r="A5" s="1" t="s">
        <v>280</v>
      </c>
      <c r="B5" s="58">
        <f>Assumptions!$B$50</f>
        <v>40000</v>
      </c>
    </row>
    <row r="6" spans="1:12" x14ac:dyDescent="0.25">
      <c r="A6" s="1" t="s">
        <v>281</v>
      </c>
      <c r="B6" s="58">
        <f>Assumptions!$B$51</f>
        <v>60000</v>
      </c>
    </row>
    <row r="7" spans="1:12" x14ac:dyDescent="0.25">
      <c r="A7" s="1" t="s">
        <v>282</v>
      </c>
      <c r="B7" s="58">
        <f>Assumptions!$B$52</f>
        <v>20000</v>
      </c>
    </row>
    <row r="8" spans="1:12" x14ac:dyDescent="0.25">
      <c r="A8" s="1" t="s">
        <v>283</v>
      </c>
      <c r="B8" s="58">
        <f>Assumptions!$B$53</f>
        <v>15000</v>
      </c>
    </row>
    <row r="9" spans="1:12" x14ac:dyDescent="0.25">
      <c r="A9" s="1" t="s">
        <v>284</v>
      </c>
      <c r="B9" s="58">
        <f>Assumptions!$B$54</f>
        <v>30000</v>
      </c>
    </row>
    <row r="10" spans="1:12" x14ac:dyDescent="0.25">
      <c r="A10" s="1" t="s">
        <v>285</v>
      </c>
      <c r="B10" s="58">
        <f>Assumptions!$B$55</f>
        <v>10000</v>
      </c>
    </row>
    <row r="11" spans="1:12" x14ac:dyDescent="0.25">
      <c r="A11" s="14" t="s">
        <v>286</v>
      </c>
      <c r="B11" s="45">
        <f>Assumptions!$B$56</f>
        <v>175000</v>
      </c>
    </row>
    <row r="13" spans="1:12" x14ac:dyDescent="0.25">
      <c r="A13" s="143" t="s">
        <v>287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</row>
    <row r="14" spans="1:12" x14ac:dyDescent="0.25">
      <c r="C14" s="49" t="s">
        <v>254</v>
      </c>
      <c r="D14" s="49" t="s">
        <v>255</v>
      </c>
      <c r="E14" s="49" t="s">
        <v>256</v>
      </c>
      <c r="F14" s="49" t="s">
        <v>257</v>
      </c>
      <c r="G14" s="49" t="s">
        <v>258</v>
      </c>
      <c r="H14" s="49" t="s">
        <v>259</v>
      </c>
      <c r="I14" s="49" t="s">
        <v>260</v>
      </c>
      <c r="J14" s="49" t="s">
        <v>261</v>
      </c>
      <c r="K14" s="49" t="s">
        <v>262</v>
      </c>
      <c r="L14" s="49" t="s">
        <v>263</v>
      </c>
    </row>
    <row r="15" spans="1:12" x14ac:dyDescent="0.25">
      <c r="A15" s="1" t="s">
        <v>288</v>
      </c>
      <c r="C15" s="50">
        <f>SUM('Monthly Operations'!D41:O41)</f>
        <v>-4000.0000000000014</v>
      </c>
      <c r="D15" s="50">
        <f>SUM('Monthly Operations'!P41:AA41)</f>
        <v>-4099.9999999999991</v>
      </c>
      <c r="E15" s="50">
        <f>SUM('Monthly Operations'!AB41:AM41)</f>
        <v>-4202.5000000000009</v>
      </c>
      <c r="F15" s="50">
        <f>SUM('Monthly Operations'!AN41:AY41)</f>
        <v>-4307.5624999999991</v>
      </c>
      <c r="G15" s="50">
        <f>SUM('Monthly Operations'!AZ41:BK41)</f>
        <v>-4415.2515624999996</v>
      </c>
      <c r="H15" s="50">
        <f>SUM('Monthly Operations'!BL41:BW41)</f>
        <v>-4525.6328515624991</v>
      </c>
      <c r="I15" s="50">
        <f>SUM('Monthly Operations'!BX41:CI41)</f>
        <v>-4638.773672851562</v>
      </c>
      <c r="J15" s="50">
        <f>SUM('Monthly Operations'!CJ41:CU41)</f>
        <v>-4754.7430146728502</v>
      </c>
      <c r="K15" s="50">
        <f>SUM('Monthly Operations'!CV41:DG41)</f>
        <v>-4873.6115900396717</v>
      </c>
      <c r="L15" s="50">
        <f>SUM('Monthly Operations'!DH41:DS41)</f>
        <v>-4995.4518797906621</v>
      </c>
    </row>
  </sheetData>
  <mergeCells count="4">
    <mergeCell ref="A1:K1"/>
    <mergeCell ref="A2:K2"/>
    <mergeCell ref="A4:K4"/>
    <mergeCell ref="A13: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"/>
  <sheetViews>
    <sheetView showGridLines="0" topLeftCell="A25" zoomScaleNormal="100" workbookViewId="0">
      <selection activeCell="D38" sqref="D38"/>
    </sheetView>
  </sheetViews>
  <sheetFormatPr defaultColWidth="8.7109375" defaultRowHeight="15" x14ac:dyDescent="0.25"/>
  <cols>
    <col min="1" max="1" width="34" customWidth="1"/>
    <col min="2" max="2" width="4.85546875" bestFit="1" customWidth="1"/>
    <col min="3" max="3" width="1.7109375" customWidth="1"/>
  </cols>
  <sheetData>
    <row r="1" spans="1:123" ht="24" customHeight="1" x14ac:dyDescent="0.25">
      <c r="A1" s="141" t="s">
        <v>289</v>
      </c>
      <c r="B1" s="141"/>
      <c r="C1" s="141"/>
      <c r="D1" s="141"/>
      <c r="E1" s="141"/>
      <c r="F1" s="141"/>
    </row>
    <row r="2" spans="1:123" ht="13.5" customHeight="1" x14ac:dyDescent="0.25">
      <c r="A2" s="142" t="s">
        <v>290</v>
      </c>
      <c r="B2" s="142"/>
      <c r="C2" s="142"/>
      <c r="D2" s="142"/>
      <c r="E2" s="142"/>
      <c r="F2" s="142"/>
      <c r="H2" s="61"/>
      <c r="I2" s="61"/>
      <c r="J2" s="61"/>
      <c r="K2" s="61"/>
      <c r="L2" s="61"/>
      <c r="M2" s="61"/>
    </row>
    <row r="3" spans="1:123" x14ac:dyDescent="0.25">
      <c r="D3" s="126">
        <f>CEILING(D4/12,1)</f>
        <v>1</v>
      </c>
      <c r="E3" s="126">
        <f>ROUNDUP(D4/12,0)</f>
        <v>1</v>
      </c>
      <c r="F3" t="s">
        <v>529</v>
      </c>
    </row>
    <row r="4" spans="1:123" x14ac:dyDescent="0.25">
      <c r="A4" s="1" t="s">
        <v>291</v>
      </c>
      <c r="D4" s="59">
        <v>1</v>
      </c>
      <c r="E4" s="59">
        <v>2</v>
      </c>
      <c r="F4" s="59">
        <v>3</v>
      </c>
      <c r="G4" s="59">
        <v>4</v>
      </c>
      <c r="H4" s="59">
        <v>5</v>
      </c>
      <c r="I4" s="59">
        <v>6</v>
      </c>
      <c r="J4" s="59">
        <v>7</v>
      </c>
      <c r="K4" s="59">
        <v>8</v>
      </c>
      <c r="L4" s="59">
        <v>9</v>
      </c>
      <c r="M4" s="59">
        <v>10</v>
      </c>
      <c r="N4" s="59">
        <v>11</v>
      </c>
      <c r="O4" s="59">
        <v>12</v>
      </c>
      <c r="P4" s="59">
        <v>13</v>
      </c>
      <c r="Q4" s="59">
        <v>14</v>
      </c>
      <c r="R4" s="59">
        <v>15</v>
      </c>
      <c r="S4" s="59">
        <v>16</v>
      </c>
      <c r="T4" s="59">
        <v>17</v>
      </c>
      <c r="U4" s="59">
        <v>18</v>
      </c>
      <c r="V4" s="59">
        <v>19</v>
      </c>
      <c r="W4" s="59">
        <v>20</v>
      </c>
      <c r="X4" s="59">
        <v>21</v>
      </c>
      <c r="Y4" s="59">
        <v>22</v>
      </c>
      <c r="Z4" s="59">
        <v>23</v>
      </c>
      <c r="AA4" s="59">
        <v>24</v>
      </c>
      <c r="AB4" s="59">
        <v>25</v>
      </c>
      <c r="AC4" s="59">
        <v>26</v>
      </c>
      <c r="AD4" s="59">
        <v>27</v>
      </c>
      <c r="AE4" s="59">
        <v>28</v>
      </c>
      <c r="AF4" s="59">
        <v>29</v>
      </c>
      <c r="AG4" s="59">
        <v>30</v>
      </c>
      <c r="AH4" s="59">
        <v>31</v>
      </c>
      <c r="AI4" s="59">
        <v>32</v>
      </c>
      <c r="AJ4" s="59">
        <v>33</v>
      </c>
      <c r="AK4" s="59">
        <v>34</v>
      </c>
      <c r="AL4" s="59">
        <v>35</v>
      </c>
      <c r="AM4" s="59">
        <v>36</v>
      </c>
      <c r="AN4" s="59">
        <v>37</v>
      </c>
      <c r="AO4" s="59">
        <v>38</v>
      </c>
      <c r="AP4" s="59">
        <v>39</v>
      </c>
      <c r="AQ4" s="59">
        <v>40</v>
      </c>
      <c r="AR4" s="59">
        <v>41</v>
      </c>
      <c r="AS4" s="59">
        <v>42</v>
      </c>
      <c r="AT4" s="59">
        <v>43</v>
      </c>
      <c r="AU4" s="59">
        <v>44</v>
      </c>
      <c r="AV4" s="59">
        <v>45</v>
      </c>
      <c r="AW4" s="59">
        <v>46</v>
      </c>
      <c r="AX4" s="59">
        <v>47</v>
      </c>
      <c r="AY4" s="59">
        <v>48</v>
      </c>
      <c r="AZ4" s="59">
        <v>49</v>
      </c>
      <c r="BA4" s="59">
        <v>50</v>
      </c>
      <c r="BB4" s="59">
        <v>51</v>
      </c>
      <c r="BC4" s="59">
        <v>52</v>
      </c>
      <c r="BD4" s="59">
        <v>53</v>
      </c>
      <c r="BE4" s="59">
        <v>54</v>
      </c>
      <c r="BF4" s="59">
        <v>55</v>
      </c>
      <c r="BG4" s="59">
        <v>56</v>
      </c>
      <c r="BH4" s="59">
        <v>57</v>
      </c>
      <c r="BI4" s="59">
        <v>58</v>
      </c>
      <c r="BJ4" s="59">
        <v>59</v>
      </c>
      <c r="BK4" s="59">
        <v>60</v>
      </c>
      <c r="BL4" s="59">
        <v>61</v>
      </c>
      <c r="BM4" s="59">
        <v>62</v>
      </c>
      <c r="BN4" s="59">
        <v>63</v>
      </c>
      <c r="BO4" s="59">
        <v>64</v>
      </c>
      <c r="BP4" s="59">
        <v>65</v>
      </c>
      <c r="BQ4" s="59">
        <v>66</v>
      </c>
      <c r="BR4" s="59">
        <v>67</v>
      </c>
      <c r="BS4" s="59">
        <v>68</v>
      </c>
      <c r="BT4" s="59">
        <v>69</v>
      </c>
      <c r="BU4" s="59">
        <v>70</v>
      </c>
      <c r="BV4" s="59">
        <v>71</v>
      </c>
      <c r="BW4" s="59">
        <v>72</v>
      </c>
      <c r="BX4" s="59">
        <v>73</v>
      </c>
      <c r="BY4" s="59">
        <v>74</v>
      </c>
      <c r="BZ4" s="59">
        <v>75</v>
      </c>
      <c r="CA4" s="59">
        <v>76</v>
      </c>
      <c r="CB4" s="59">
        <v>77</v>
      </c>
      <c r="CC4" s="59">
        <v>78</v>
      </c>
      <c r="CD4" s="59">
        <v>79</v>
      </c>
      <c r="CE4" s="59">
        <v>80</v>
      </c>
      <c r="CF4" s="59">
        <v>81</v>
      </c>
      <c r="CG4" s="59">
        <v>82</v>
      </c>
      <c r="CH4" s="59">
        <v>83</v>
      </c>
      <c r="CI4" s="59">
        <v>84</v>
      </c>
      <c r="CJ4" s="59">
        <v>85</v>
      </c>
      <c r="CK4" s="59">
        <v>86</v>
      </c>
      <c r="CL4" s="59">
        <v>87</v>
      </c>
      <c r="CM4" s="59">
        <v>88</v>
      </c>
      <c r="CN4" s="59">
        <v>89</v>
      </c>
      <c r="CO4" s="59">
        <v>90</v>
      </c>
      <c r="CP4" s="59">
        <v>91</v>
      </c>
      <c r="CQ4" s="59">
        <v>92</v>
      </c>
      <c r="CR4" s="59">
        <v>93</v>
      </c>
      <c r="CS4" s="59">
        <v>94</v>
      </c>
      <c r="CT4" s="59">
        <v>95</v>
      </c>
      <c r="CU4" s="59">
        <v>96</v>
      </c>
      <c r="CV4" s="59">
        <v>97</v>
      </c>
      <c r="CW4" s="59">
        <v>98</v>
      </c>
      <c r="CX4" s="59">
        <v>99</v>
      </c>
      <c r="CY4" s="59">
        <v>100</v>
      </c>
      <c r="CZ4" s="59">
        <v>101</v>
      </c>
      <c r="DA4" s="59">
        <v>102</v>
      </c>
      <c r="DB4" s="59">
        <v>103</v>
      </c>
      <c r="DC4" s="59">
        <v>104</v>
      </c>
      <c r="DD4" s="59">
        <v>105</v>
      </c>
      <c r="DE4" s="59">
        <v>106</v>
      </c>
      <c r="DF4" s="59">
        <v>107</v>
      </c>
      <c r="DG4" s="59">
        <v>108</v>
      </c>
      <c r="DH4" s="59">
        <v>109</v>
      </c>
      <c r="DI4" s="59">
        <v>110</v>
      </c>
      <c r="DJ4" s="59">
        <v>111</v>
      </c>
      <c r="DK4" s="59">
        <v>112</v>
      </c>
      <c r="DL4" s="59">
        <v>113</v>
      </c>
      <c r="DM4" s="59">
        <v>114</v>
      </c>
      <c r="DN4" s="59">
        <v>115</v>
      </c>
      <c r="DO4" s="59">
        <v>116</v>
      </c>
      <c r="DP4" s="59">
        <v>117</v>
      </c>
      <c r="DQ4" s="59">
        <v>118</v>
      </c>
      <c r="DR4" s="59">
        <v>119</v>
      </c>
      <c r="DS4" s="59">
        <v>120</v>
      </c>
    </row>
    <row r="5" spans="1:123" x14ac:dyDescent="0.25">
      <c r="A5" s="1" t="s">
        <v>292</v>
      </c>
      <c r="D5" s="60">
        <f>INT((D4-1)/12)+1</f>
        <v>1</v>
      </c>
      <c r="E5" s="60">
        <f t="shared" ref="E5:AI5" si="0">INT((E4-1)/12)+1</f>
        <v>1</v>
      </c>
      <c r="F5" s="60">
        <f t="shared" si="0"/>
        <v>1</v>
      </c>
      <c r="G5" s="60">
        <f t="shared" si="0"/>
        <v>1</v>
      </c>
      <c r="H5" s="60">
        <f t="shared" si="0"/>
        <v>1</v>
      </c>
      <c r="I5" s="60">
        <f t="shared" si="0"/>
        <v>1</v>
      </c>
      <c r="J5" s="60">
        <f t="shared" si="0"/>
        <v>1</v>
      </c>
      <c r="K5" s="60">
        <f t="shared" si="0"/>
        <v>1</v>
      </c>
      <c r="L5" s="60">
        <f t="shared" si="0"/>
        <v>1</v>
      </c>
      <c r="M5" s="60">
        <f t="shared" si="0"/>
        <v>1</v>
      </c>
      <c r="N5" s="60">
        <f t="shared" si="0"/>
        <v>1</v>
      </c>
      <c r="O5" s="60">
        <f t="shared" si="0"/>
        <v>1</v>
      </c>
      <c r="P5" s="60">
        <f t="shared" si="0"/>
        <v>2</v>
      </c>
      <c r="Q5" s="60">
        <f t="shared" si="0"/>
        <v>2</v>
      </c>
      <c r="R5" s="60">
        <f t="shared" si="0"/>
        <v>2</v>
      </c>
      <c r="S5" s="60">
        <f t="shared" si="0"/>
        <v>2</v>
      </c>
      <c r="T5" s="60">
        <f t="shared" si="0"/>
        <v>2</v>
      </c>
      <c r="U5" s="60">
        <f t="shared" si="0"/>
        <v>2</v>
      </c>
      <c r="V5" s="60">
        <f t="shared" si="0"/>
        <v>2</v>
      </c>
      <c r="W5" s="60">
        <f t="shared" si="0"/>
        <v>2</v>
      </c>
      <c r="X5" s="60">
        <f t="shared" si="0"/>
        <v>2</v>
      </c>
      <c r="Y5" s="60">
        <f t="shared" si="0"/>
        <v>2</v>
      </c>
      <c r="Z5" s="60">
        <f t="shared" si="0"/>
        <v>2</v>
      </c>
      <c r="AA5" s="60">
        <f t="shared" si="0"/>
        <v>2</v>
      </c>
      <c r="AB5" s="60">
        <f t="shared" si="0"/>
        <v>3</v>
      </c>
      <c r="AC5" s="60">
        <f t="shared" si="0"/>
        <v>3</v>
      </c>
      <c r="AD5" s="60">
        <f t="shared" si="0"/>
        <v>3</v>
      </c>
      <c r="AE5" s="60">
        <f t="shared" si="0"/>
        <v>3</v>
      </c>
      <c r="AF5" s="60">
        <f t="shared" si="0"/>
        <v>3</v>
      </c>
      <c r="AG5" s="60">
        <f t="shared" si="0"/>
        <v>3</v>
      </c>
      <c r="AH5" s="60">
        <f t="shared" si="0"/>
        <v>3</v>
      </c>
      <c r="AI5" s="60">
        <f t="shared" si="0"/>
        <v>3</v>
      </c>
      <c r="AJ5" s="60">
        <f t="shared" ref="AJ5:BO5" si="1">INT((AJ4-1)/12)+1</f>
        <v>3</v>
      </c>
      <c r="AK5" s="60">
        <f t="shared" si="1"/>
        <v>3</v>
      </c>
      <c r="AL5" s="60">
        <f t="shared" si="1"/>
        <v>3</v>
      </c>
      <c r="AM5" s="60">
        <f t="shared" si="1"/>
        <v>3</v>
      </c>
      <c r="AN5" s="60">
        <f t="shared" si="1"/>
        <v>4</v>
      </c>
      <c r="AO5" s="60">
        <f t="shared" si="1"/>
        <v>4</v>
      </c>
      <c r="AP5" s="60">
        <f t="shared" si="1"/>
        <v>4</v>
      </c>
      <c r="AQ5" s="60">
        <f t="shared" si="1"/>
        <v>4</v>
      </c>
      <c r="AR5" s="60">
        <f t="shared" si="1"/>
        <v>4</v>
      </c>
      <c r="AS5" s="60">
        <f t="shared" si="1"/>
        <v>4</v>
      </c>
      <c r="AT5" s="60">
        <f t="shared" si="1"/>
        <v>4</v>
      </c>
      <c r="AU5" s="60">
        <f t="shared" si="1"/>
        <v>4</v>
      </c>
      <c r="AV5" s="60">
        <f t="shared" si="1"/>
        <v>4</v>
      </c>
      <c r="AW5" s="60">
        <f t="shared" si="1"/>
        <v>4</v>
      </c>
      <c r="AX5" s="60">
        <f t="shared" si="1"/>
        <v>4</v>
      </c>
      <c r="AY5" s="60">
        <f t="shared" si="1"/>
        <v>4</v>
      </c>
      <c r="AZ5" s="60">
        <f t="shared" si="1"/>
        <v>5</v>
      </c>
      <c r="BA5" s="60">
        <f t="shared" si="1"/>
        <v>5</v>
      </c>
      <c r="BB5" s="60">
        <f t="shared" si="1"/>
        <v>5</v>
      </c>
      <c r="BC5" s="60">
        <f t="shared" si="1"/>
        <v>5</v>
      </c>
      <c r="BD5" s="60">
        <f t="shared" si="1"/>
        <v>5</v>
      </c>
      <c r="BE5" s="60">
        <f t="shared" si="1"/>
        <v>5</v>
      </c>
      <c r="BF5" s="60">
        <f t="shared" si="1"/>
        <v>5</v>
      </c>
      <c r="BG5" s="60">
        <f t="shared" si="1"/>
        <v>5</v>
      </c>
      <c r="BH5" s="60">
        <f t="shared" si="1"/>
        <v>5</v>
      </c>
      <c r="BI5" s="60">
        <f t="shared" si="1"/>
        <v>5</v>
      </c>
      <c r="BJ5" s="60">
        <f t="shared" si="1"/>
        <v>5</v>
      </c>
      <c r="BK5" s="60">
        <f t="shared" si="1"/>
        <v>5</v>
      </c>
      <c r="BL5" s="60">
        <f t="shared" si="1"/>
        <v>6</v>
      </c>
      <c r="BM5" s="60">
        <f t="shared" si="1"/>
        <v>6</v>
      </c>
      <c r="BN5" s="60">
        <f t="shared" si="1"/>
        <v>6</v>
      </c>
      <c r="BO5" s="60">
        <f t="shared" si="1"/>
        <v>6</v>
      </c>
      <c r="BP5" s="60">
        <f t="shared" ref="BP5:CU5" si="2">INT((BP4-1)/12)+1</f>
        <v>6</v>
      </c>
      <c r="BQ5" s="60">
        <f t="shared" si="2"/>
        <v>6</v>
      </c>
      <c r="BR5" s="60">
        <f t="shared" si="2"/>
        <v>6</v>
      </c>
      <c r="BS5" s="60">
        <f t="shared" si="2"/>
        <v>6</v>
      </c>
      <c r="BT5" s="60">
        <f t="shared" si="2"/>
        <v>6</v>
      </c>
      <c r="BU5" s="60">
        <f t="shared" si="2"/>
        <v>6</v>
      </c>
      <c r="BV5" s="60">
        <f t="shared" si="2"/>
        <v>6</v>
      </c>
      <c r="BW5" s="60">
        <f t="shared" si="2"/>
        <v>6</v>
      </c>
      <c r="BX5" s="60">
        <f t="shared" si="2"/>
        <v>7</v>
      </c>
      <c r="BY5" s="60">
        <f t="shared" si="2"/>
        <v>7</v>
      </c>
      <c r="BZ5" s="60">
        <f t="shared" si="2"/>
        <v>7</v>
      </c>
      <c r="CA5" s="60">
        <f t="shared" si="2"/>
        <v>7</v>
      </c>
      <c r="CB5" s="60">
        <f t="shared" si="2"/>
        <v>7</v>
      </c>
      <c r="CC5" s="60">
        <f t="shared" si="2"/>
        <v>7</v>
      </c>
      <c r="CD5" s="60">
        <f t="shared" si="2"/>
        <v>7</v>
      </c>
      <c r="CE5" s="60">
        <f t="shared" si="2"/>
        <v>7</v>
      </c>
      <c r="CF5" s="60">
        <f t="shared" si="2"/>
        <v>7</v>
      </c>
      <c r="CG5" s="60">
        <f t="shared" si="2"/>
        <v>7</v>
      </c>
      <c r="CH5" s="60">
        <f t="shared" si="2"/>
        <v>7</v>
      </c>
      <c r="CI5" s="60">
        <f t="shared" si="2"/>
        <v>7</v>
      </c>
      <c r="CJ5" s="60">
        <f t="shared" si="2"/>
        <v>8</v>
      </c>
      <c r="CK5" s="60">
        <f t="shared" si="2"/>
        <v>8</v>
      </c>
      <c r="CL5" s="60">
        <f t="shared" si="2"/>
        <v>8</v>
      </c>
      <c r="CM5" s="60">
        <f t="shared" si="2"/>
        <v>8</v>
      </c>
      <c r="CN5" s="60">
        <f t="shared" si="2"/>
        <v>8</v>
      </c>
      <c r="CO5" s="60">
        <f t="shared" si="2"/>
        <v>8</v>
      </c>
      <c r="CP5" s="60">
        <f t="shared" si="2"/>
        <v>8</v>
      </c>
      <c r="CQ5" s="60">
        <f t="shared" si="2"/>
        <v>8</v>
      </c>
      <c r="CR5" s="60">
        <f t="shared" si="2"/>
        <v>8</v>
      </c>
      <c r="CS5" s="60">
        <f t="shared" si="2"/>
        <v>8</v>
      </c>
      <c r="CT5" s="60">
        <f t="shared" si="2"/>
        <v>8</v>
      </c>
      <c r="CU5" s="60">
        <f t="shared" si="2"/>
        <v>8</v>
      </c>
      <c r="CV5" s="60">
        <f t="shared" ref="CV5:DS5" si="3">INT((CV4-1)/12)+1</f>
        <v>9</v>
      </c>
      <c r="CW5" s="60">
        <f t="shared" si="3"/>
        <v>9</v>
      </c>
      <c r="CX5" s="60">
        <f t="shared" si="3"/>
        <v>9</v>
      </c>
      <c r="CY5" s="60">
        <f t="shared" si="3"/>
        <v>9</v>
      </c>
      <c r="CZ5" s="60">
        <f t="shared" si="3"/>
        <v>9</v>
      </c>
      <c r="DA5" s="60">
        <f t="shared" si="3"/>
        <v>9</v>
      </c>
      <c r="DB5" s="60">
        <f t="shared" si="3"/>
        <v>9</v>
      </c>
      <c r="DC5" s="60">
        <f t="shared" si="3"/>
        <v>9</v>
      </c>
      <c r="DD5" s="60">
        <f t="shared" si="3"/>
        <v>9</v>
      </c>
      <c r="DE5" s="60">
        <f t="shared" si="3"/>
        <v>9</v>
      </c>
      <c r="DF5" s="60">
        <f t="shared" si="3"/>
        <v>9</v>
      </c>
      <c r="DG5" s="60">
        <f t="shared" si="3"/>
        <v>9</v>
      </c>
      <c r="DH5" s="60">
        <f t="shared" si="3"/>
        <v>10</v>
      </c>
      <c r="DI5" s="60">
        <f t="shared" si="3"/>
        <v>10</v>
      </c>
      <c r="DJ5" s="60">
        <f t="shared" si="3"/>
        <v>10</v>
      </c>
      <c r="DK5" s="60">
        <f t="shared" si="3"/>
        <v>10</v>
      </c>
      <c r="DL5" s="60">
        <f t="shared" si="3"/>
        <v>10</v>
      </c>
      <c r="DM5" s="60">
        <f t="shared" si="3"/>
        <v>10</v>
      </c>
      <c r="DN5" s="60">
        <f t="shared" si="3"/>
        <v>10</v>
      </c>
      <c r="DO5" s="60">
        <f t="shared" si="3"/>
        <v>10</v>
      </c>
      <c r="DP5" s="60">
        <f t="shared" si="3"/>
        <v>10</v>
      </c>
      <c r="DQ5" s="60">
        <f t="shared" si="3"/>
        <v>10</v>
      </c>
      <c r="DR5" s="60">
        <f t="shared" si="3"/>
        <v>10</v>
      </c>
      <c r="DS5" s="60">
        <f t="shared" si="3"/>
        <v>10</v>
      </c>
    </row>
    <row r="6" spans="1:123" x14ac:dyDescent="0.25">
      <c r="A6" s="1" t="s">
        <v>293</v>
      </c>
      <c r="D6" s="61">
        <f>EDATE(Assumptions!$B$15,D4-1)</f>
        <v>46023</v>
      </c>
      <c r="E6" s="61">
        <f>EDATE(Assumptions!$B$15,E4-1)</f>
        <v>46054</v>
      </c>
      <c r="F6" s="61">
        <f>EDATE(Assumptions!$B$15,F4-1)</f>
        <v>46082</v>
      </c>
      <c r="G6" s="61">
        <f>EDATE(Assumptions!$B$15,G4-1)</f>
        <v>46113</v>
      </c>
      <c r="H6" s="61">
        <f>EDATE(Assumptions!$B$15,H4-1)</f>
        <v>46143</v>
      </c>
      <c r="I6" s="61">
        <f>EDATE(Assumptions!$B$15,I4-1)</f>
        <v>46174</v>
      </c>
      <c r="J6" s="61">
        <f>EDATE(Assumptions!$B$15,J4-1)</f>
        <v>46204</v>
      </c>
      <c r="K6" s="61">
        <f>EDATE(Assumptions!$B$15,K4-1)</f>
        <v>46235</v>
      </c>
      <c r="L6" s="61">
        <f>EDATE(Assumptions!$B$15,L4-1)</f>
        <v>46266</v>
      </c>
      <c r="M6" s="61">
        <f>EDATE(Assumptions!$B$15,M4-1)</f>
        <v>46296</v>
      </c>
      <c r="N6" s="61">
        <f>EDATE(Assumptions!$B$15,N4-1)</f>
        <v>46327</v>
      </c>
      <c r="O6" s="61">
        <f>EDATE(Assumptions!$B$15,O4-1)</f>
        <v>46357</v>
      </c>
      <c r="P6" s="61">
        <f>EDATE(Assumptions!$B$15,P4-1)</f>
        <v>46388</v>
      </c>
      <c r="Q6" s="61">
        <f>EDATE(Assumptions!$B$15,Q4-1)</f>
        <v>46419</v>
      </c>
      <c r="R6" s="61">
        <f>EDATE(Assumptions!$B$15,R4-1)</f>
        <v>46447</v>
      </c>
      <c r="S6" s="61">
        <f>EDATE(Assumptions!$B$15,S4-1)</f>
        <v>46478</v>
      </c>
      <c r="T6" s="61">
        <f>EDATE(Assumptions!$B$15,T4-1)</f>
        <v>46508</v>
      </c>
      <c r="U6" s="61">
        <f>EDATE(Assumptions!$B$15,U4-1)</f>
        <v>46539</v>
      </c>
      <c r="V6" s="61">
        <f>EDATE(Assumptions!$B$15,V4-1)</f>
        <v>46569</v>
      </c>
      <c r="W6" s="61">
        <f>EDATE(Assumptions!$B$15,W4-1)</f>
        <v>46600</v>
      </c>
      <c r="X6" s="61">
        <f>EDATE(Assumptions!$B$15,X4-1)</f>
        <v>46631</v>
      </c>
      <c r="Y6" s="61">
        <f>EDATE(Assumptions!$B$15,Y4-1)</f>
        <v>46661</v>
      </c>
      <c r="Z6" s="61">
        <f>EDATE(Assumptions!$B$15,Z4-1)</f>
        <v>46692</v>
      </c>
      <c r="AA6" s="61">
        <f>EDATE(Assumptions!$B$15,AA4-1)</f>
        <v>46722</v>
      </c>
      <c r="AB6" s="61">
        <f>EDATE(Assumptions!$B$15,AB4-1)</f>
        <v>46753</v>
      </c>
      <c r="AC6" s="61">
        <f>EDATE(Assumptions!$B$15,AC4-1)</f>
        <v>46784</v>
      </c>
      <c r="AD6" s="61">
        <f>EDATE(Assumptions!$B$15,AD4-1)</f>
        <v>46813</v>
      </c>
      <c r="AE6" s="61">
        <f>EDATE(Assumptions!$B$15,AE4-1)</f>
        <v>46844</v>
      </c>
      <c r="AF6" s="61">
        <f>EDATE(Assumptions!$B$15,AF4-1)</f>
        <v>46874</v>
      </c>
      <c r="AG6" s="61">
        <f>EDATE(Assumptions!$B$15,AG4-1)</f>
        <v>46905</v>
      </c>
      <c r="AH6" s="61">
        <f>EDATE(Assumptions!$B$15,AH4-1)</f>
        <v>46935</v>
      </c>
      <c r="AI6" s="61">
        <f>EDATE(Assumptions!$B$15,AI4-1)</f>
        <v>46966</v>
      </c>
      <c r="AJ6" s="61">
        <f>EDATE(Assumptions!$B$15,AJ4-1)</f>
        <v>46997</v>
      </c>
      <c r="AK6" s="61">
        <f>EDATE(Assumptions!$B$15,AK4-1)</f>
        <v>47027</v>
      </c>
      <c r="AL6" s="61">
        <f>EDATE(Assumptions!$B$15,AL4-1)</f>
        <v>47058</v>
      </c>
      <c r="AM6" s="61">
        <f>EDATE(Assumptions!$B$15,AM4-1)</f>
        <v>47088</v>
      </c>
      <c r="AN6" s="61">
        <f>EDATE(Assumptions!$B$15,AN4-1)</f>
        <v>47119</v>
      </c>
      <c r="AO6" s="61">
        <f>EDATE(Assumptions!$B$15,AO4-1)</f>
        <v>47150</v>
      </c>
      <c r="AP6" s="61">
        <f>EDATE(Assumptions!$B$15,AP4-1)</f>
        <v>47178</v>
      </c>
      <c r="AQ6" s="61">
        <f>EDATE(Assumptions!$B$15,AQ4-1)</f>
        <v>47209</v>
      </c>
      <c r="AR6" s="61">
        <f>EDATE(Assumptions!$B$15,AR4-1)</f>
        <v>47239</v>
      </c>
      <c r="AS6" s="61">
        <f>EDATE(Assumptions!$B$15,AS4-1)</f>
        <v>47270</v>
      </c>
      <c r="AT6" s="61">
        <f>EDATE(Assumptions!$B$15,AT4-1)</f>
        <v>47300</v>
      </c>
      <c r="AU6" s="61">
        <f>EDATE(Assumptions!$B$15,AU4-1)</f>
        <v>47331</v>
      </c>
      <c r="AV6" s="61">
        <f>EDATE(Assumptions!$B$15,AV4-1)</f>
        <v>47362</v>
      </c>
      <c r="AW6" s="61">
        <f>EDATE(Assumptions!$B$15,AW4-1)</f>
        <v>47392</v>
      </c>
      <c r="AX6" s="61">
        <f>EDATE(Assumptions!$B$15,AX4-1)</f>
        <v>47423</v>
      </c>
      <c r="AY6" s="61">
        <f>EDATE(Assumptions!$B$15,AY4-1)</f>
        <v>47453</v>
      </c>
      <c r="AZ6" s="61">
        <f>EDATE(Assumptions!$B$15,AZ4-1)</f>
        <v>47484</v>
      </c>
      <c r="BA6" s="61">
        <f>EDATE(Assumptions!$B$15,BA4-1)</f>
        <v>47515</v>
      </c>
      <c r="BB6" s="61">
        <f>EDATE(Assumptions!$B$15,BB4-1)</f>
        <v>47543</v>
      </c>
      <c r="BC6" s="61">
        <f>EDATE(Assumptions!$B$15,BC4-1)</f>
        <v>47574</v>
      </c>
      <c r="BD6" s="61">
        <f>EDATE(Assumptions!$B$15,BD4-1)</f>
        <v>47604</v>
      </c>
      <c r="BE6" s="61">
        <f>EDATE(Assumptions!$B$15,BE4-1)</f>
        <v>47635</v>
      </c>
      <c r="BF6" s="61">
        <f>EDATE(Assumptions!$B$15,BF4-1)</f>
        <v>47665</v>
      </c>
      <c r="BG6" s="61">
        <f>EDATE(Assumptions!$B$15,BG4-1)</f>
        <v>47696</v>
      </c>
      <c r="BH6" s="61">
        <f>EDATE(Assumptions!$B$15,BH4-1)</f>
        <v>47727</v>
      </c>
      <c r="BI6" s="61">
        <f>EDATE(Assumptions!$B$15,BI4-1)</f>
        <v>47757</v>
      </c>
      <c r="BJ6" s="61">
        <f>EDATE(Assumptions!$B$15,BJ4-1)</f>
        <v>47788</v>
      </c>
      <c r="BK6" s="61">
        <f>EDATE(Assumptions!$B$15,BK4-1)</f>
        <v>47818</v>
      </c>
      <c r="BL6" s="61">
        <f>EDATE(Assumptions!$B$15,BL4-1)</f>
        <v>47849</v>
      </c>
      <c r="BM6" s="61">
        <f>EDATE(Assumptions!$B$15,BM4-1)</f>
        <v>47880</v>
      </c>
      <c r="BN6" s="61">
        <f>EDATE(Assumptions!$B$15,BN4-1)</f>
        <v>47908</v>
      </c>
      <c r="BO6" s="61">
        <f>EDATE(Assumptions!$B$15,BO4-1)</f>
        <v>47939</v>
      </c>
      <c r="BP6" s="61">
        <f>EDATE(Assumptions!$B$15,BP4-1)</f>
        <v>47969</v>
      </c>
      <c r="BQ6" s="61">
        <f>EDATE(Assumptions!$B$15,BQ4-1)</f>
        <v>48000</v>
      </c>
      <c r="BR6" s="61">
        <f>EDATE(Assumptions!$B$15,BR4-1)</f>
        <v>48030</v>
      </c>
      <c r="BS6" s="61">
        <f>EDATE(Assumptions!$B$15,BS4-1)</f>
        <v>48061</v>
      </c>
      <c r="BT6" s="61">
        <f>EDATE(Assumptions!$B$15,BT4-1)</f>
        <v>48092</v>
      </c>
      <c r="BU6" s="61">
        <f>EDATE(Assumptions!$B$15,BU4-1)</f>
        <v>48122</v>
      </c>
      <c r="BV6" s="61">
        <f>EDATE(Assumptions!$B$15,BV4-1)</f>
        <v>48153</v>
      </c>
      <c r="BW6" s="61">
        <f>EDATE(Assumptions!$B$15,BW4-1)</f>
        <v>48183</v>
      </c>
      <c r="BX6" s="61">
        <f>EDATE(Assumptions!$B$15,BX4-1)</f>
        <v>48214</v>
      </c>
      <c r="BY6" s="61">
        <f>EDATE(Assumptions!$B$15,BY4-1)</f>
        <v>48245</v>
      </c>
      <c r="BZ6" s="61">
        <f>EDATE(Assumptions!$B$15,BZ4-1)</f>
        <v>48274</v>
      </c>
      <c r="CA6" s="61">
        <f>EDATE(Assumptions!$B$15,CA4-1)</f>
        <v>48305</v>
      </c>
      <c r="CB6" s="61">
        <f>EDATE(Assumptions!$B$15,CB4-1)</f>
        <v>48335</v>
      </c>
      <c r="CC6" s="61">
        <f>EDATE(Assumptions!$B$15,CC4-1)</f>
        <v>48366</v>
      </c>
      <c r="CD6" s="61">
        <f>EDATE(Assumptions!$B$15,CD4-1)</f>
        <v>48396</v>
      </c>
      <c r="CE6" s="61">
        <f>EDATE(Assumptions!$B$15,CE4-1)</f>
        <v>48427</v>
      </c>
      <c r="CF6" s="61">
        <f>EDATE(Assumptions!$B$15,CF4-1)</f>
        <v>48458</v>
      </c>
      <c r="CG6" s="61">
        <f>EDATE(Assumptions!$B$15,CG4-1)</f>
        <v>48488</v>
      </c>
      <c r="CH6" s="61">
        <f>EDATE(Assumptions!$B$15,CH4-1)</f>
        <v>48519</v>
      </c>
      <c r="CI6" s="61">
        <f>EDATE(Assumptions!$B$15,CI4-1)</f>
        <v>48549</v>
      </c>
      <c r="CJ6" s="61">
        <f>EDATE(Assumptions!$B$15,CJ4-1)</f>
        <v>48580</v>
      </c>
      <c r="CK6" s="61">
        <f>EDATE(Assumptions!$B$15,CK4-1)</f>
        <v>48611</v>
      </c>
      <c r="CL6" s="61">
        <f>EDATE(Assumptions!$B$15,CL4-1)</f>
        <v>48639</v>
      </c>
      <c r="CM6" s="61">
        <f>EDATE(Assumptions!$B$15,CM4-1)</f>
        <v>48670</v>
      </c>
      <c r="CN6" s="61">
        <f>EDATE(Assumptions!$B$15,CN4-1)</f>
        <v>48700</v>
      </c>
      <c r="CO6" s="61">
        <f>EDATE(Assumptions!$B$15,CO4-1)</f>
        <v>48731</v>
      </c>
      <c r="CP6" s="61">
        <f>EDATE(Assumptions!$B$15,CP4-1)</f>
        <v>48761</v>
      </c>
      <c r="CQ6" s="61">
        <f>EDATE(Assumptions!$B$15,CQ4-1)</f>
        <v>48792</v>
      </c>
      <c r="CR6" s="61">
        <f>EDATE(Assumptions!$B$15,CR4-1)</f>
        <v>48823</v>
      </c>
      <c r="CS6" s="61">
        <f>EDATE(Assumptions!$B$15,CS4-1)</f>
        <v>48853</v>
      </c>
      <c r="CT6" s="61">
        <f>EDATE(Assumptions!$B$15,CT4-1)</f>
        <v>48884</v>
      </c>
      <c r="CU6" s="61">
        <f>EDATE(Assumptions!$B$15,CU4-1)</f>
        <v>48914</v>
      </c>
      <c r="CV6" s="61">
        <f>EDATE(Assumptions!$B$15,CV4-1)</f>
        <v>48945</v>
      </c>
      <c r="CW6" s="61">
        <f>EDATE(Assumptions!$B$15,CW4-1)</f>
        <v>48976</v>
      </c>
      <c r="CX6" s="61">
        <f>EDATE(Assumptions!$B$15,CX4-1)</f>
        <v>49004</v>
      </c>
      <c r="CY6" s="61">
        <f>EDATE(Assumptions!$B$15,CY4-1)</f>
        <v>49035</v>
      </c>
      <c r="CZ6" s="61">
        <f>EDATE(Assumptions!$B$15,CZ4-1)</f>
        <v>49065</v>
      </c>
      <c r="DA6" s="61">
        <f>EDATE(Assumptions!$B$15,DA4-1)</f>
        <v>49096</v>
      </c>
      <c r="DB6" s="61">
        <f>EDATE(Assumptions!$B$15,DB4-1)</f>
        <v>49126</v>
      </c>
      <c r="DC6" s="61">
        <f>EDATE(Assumptions!$B$15,DC4-1)</f>
        <v>49157</v>
      </c>
      <c r="DD6" s="61">
        <f>EDATE(Assumptions!$B$15,DD4-1)</f>
        <v>49188</v>
      </c>
      <c r="DE6" s="61">
        <f>EDATE(Assumptions!$B$15,DE4-1)</f>
        <v>49218</v>
      </c>
      <c r="DF6" s="61">
        <f>EDATE(Assumptions!$B$15,DF4-1)</f>
        <v>49249</v>
      </c>
      <c r="DG6" s="61">
        <f>EDATE(Assumptions!$B$15,DG4-1)</f>
        <v>49279</v>
      </c>
      <c r="DH6" s="61">
        <f>EDATE(Assumptions!$B$15,DH4-1)</f>
        <v>49310</v>
      </c>
      <c r="DI6" s="61">
        <f>EDATE(Assumptions!$B$15,DI4-1)</f>
        <v>49341</v>
      </c>
      <c r="DJ6" s="61">
        <f>EDATE(Assumptions!$B$15,DJ4-1)</f>
        <v>49369</v>
      </c>
      <c r="DK6" s="61">
        <f>EDATE(Assumptions!$B$15,DK4-1)</f>
        <v>49400</v>
      </c>
      <c r="DL6" s="61">
        <f>EDATE(Assumptions!$B$15,DL4-1)</f>
        <v>49430</v>
      </c>
      <c r="DM6" s="61">
        <f>EDATE(Assumptions!$B$15,DM4-1)</f>
        <v>49461</v>
      </c>
      <c r="DN6" s="61">
        <f>EDATE(Assumptions!$B$15,DN4-1)</f>
        <v>49491</v>
      </c>
      <c r="DO6" s="61">
        <f>EDATE(Assumptions!$B$15,DO4-1)</f>
        <v>49522</v>
      </c>
      <c r="DP6" s="61">
        <f>EDATE(Assumptions!$B$15,DP4-1)</f>
        <v>49553</v>
      </c>
      <c r="DQ6" s="61">
        <f>EDATE(Assumptions!$B$15,DQ4-1)</f>
        <v>49583</v>
      </c>
      <c r="DR6" s="61">
        <f>EDATE(Assumptions!$B$15,DR4-1)</f>
        <v>49614</v>
      </c>
      <c r="DS6" s="61">
        <f>EDATE(Assumptions!$B$15,DS4-1)</f>
        <v>49644</v>
      </c>
    </row>
    <row r="8" spans="1:123" x14ac:dyDescent="0.25">
      <c r="A8" s="1" t="s">
        <v>294</v>
      </c>
      <c r="D8" s="62">
        <f>MIN(Assumptions!$B$9*Assumptions!$B$16,Assumptions!$B$17+(Assumptions!$B$9*Assumptions!$B$16-Assumptions!$B$17)*MIN(D4,Assumptions!$B$29)/Assumptions!$B$29)</f>
        <v>60.755555555555553</v>
      </c>
      <c r="E8" s="62">
        <f>MIN(Assumptions!$B$9*Assumptions!$B$16,Assumptions!$B$17+(Assumptions!$B$9*Assumptions!$B$16-Assumptions!$B$17)*MIN(E4,Assumptions!$B$29)/Assumptions!$B$29)</f>
        <v>61.511111111111113</v>
      </c>
      <c r="F8" s="62">
        <f>MIN(Assumptions!$B$9*Assumptions!$B$16,Assumptions!$B$17+(Assumptions!$B$9*Assumptions!$B$16-Assumptions!$B$17)*MIN(F4,Assumptions!$B$29)/Assumptions!$B$29)</f>
        <v>62.266666666666666</v>
      </c>
      <c r="G8" s="62">
        <f>MIN(Assumptions!$B$9*Assumptions!$B$16,Assumptions!$B$17+(Assumptions!$B$9*Assumptions!$B$16-Assumptions!$B$17)*MIN(G4,Assumptions!$B$29)/Assumptions!$B$29)</f>
        <v>63.022222222222226</v>
      </c>
      <c r="H8" s="62">
        <f>MIN(Assumptions!$B$9*Assumptions!$B$16,Assumptions!$B$17+(Assumptions!$B$9*Assumptions!$B$16-Assumptions!$B$17)*MIN(H4,Assumptions!$B$29)/Assumptions!$B$29)</f>
        <v>63.777777777777779</v>
      </c>
      <c r="I8" s="62">
        <f>MIN(Assumptions!$B$9*Assumptions!$B$16,Assumptions!$B$17+(Assumptions!$B$9*Assumptions!$B$16-Assumptions!$B$17)*MIN(I4,Assumptions!$B$29)/Assumptions!$B$29)</f>
        <v>64.533333333333331</v>
      </c>
      <c r="J8" s="62">
        <f>MIN(Assumptions!$B$9*Assumptions!$B$16,Assumptions!$B$17+(Assumptions!$B$9*Assumptions!$B$16-Assumptions!$B$17)*MIN(J4,Assumptions!$B$29)/Assumptions!$B$29)</f>
        <v>65.288888888888891</v>
      </c>
      <c r="K8" s="62">
        <f>MIN(Assumptions!$B$9*Assumptions!$B$16,Assumptions!$B$17+(Assumptions!$B$9*Assumptions!$B$16-Assumptions!$B$17)*MIN(K4,Assumptions!$B$29)/Assumptions!$B$29)</f>
        <v>66.044444444444451</v>
      </c>
      <c r="L8" s="62">
        <f>MIN(Assumptions!$B$9*Assumptions!$B$16,Assumptions!$B$17+(Assumptions!$B$9*Assumptions!$B$16-Assumptions!$B$17)*MIN(L4,Assumptions!$B$29)/Assumptions!$B$29)</f>
        <v>66.800000000000011</v>
      </c>
      <c r="M8" s="62">
        <f>MIN(Assumptions!$B$9*Assumptions!$B$16,Assumptions!$B$17+(Assumptions!$B$9*Assumptions!$B$16-Assumptions!$B$17)*MIN(M4,Assumptions!$B$29)/Assumptions!$B$29)</f>
        <v>67.555555555555557</v>
      </c>
      <c r="N8" s="62">
        <f>MIN(Assumptions!$B$9*Assumptions!$B$16,Assumptions!$B$17+(Assumptions!$B$9*Assumptions!$B$16-Assumptions!$B$17)*MIN(N4,Assumptions!$B$29)/Assumptions!$B$29)</f>
        <v>68.311111111111117</v>
      </c>
      <c r="O8" s="62">
        <f>MIN(Assumptions!$B$9*Assumptions!$B$16,Assumptions!$B$17+(Assumptions!$B$9*Assumptions!$B$16-Assumptions!$B$17)*MIN(O4,Assumptions!$B$29)/Assumptions!$B$29)</f>
        <v>69.066666666666677</v>
      </c>
      <c r="P8" s="62">
        <f>MIN(Assumptions!$B$9*Assumptions!$B$16,Assumptions!$B$17+(Assumptions!$B$9*Assumptions!$B$16-Assumptions!$B$17)*MIN(P4,Assumptions!$B$29)/Assumptions!$B$29)</f>
        <v>69.822222222222223</v>
      </c>
      <c r="Q8" s="62">
        <f>MIN(Assumptions!$B$9*Assumptions!$B$16,Assumptions!$B$17+(Assumptions!$B$9*Assumptions!$B$16-Assumptions!$B$17)*MIN(Q4,Assumptions!$B$29)/Assumptions!$B$29)</f>
        <v>70.577777777777783</v>
      </c>
      <c r="R8" s="62">
        <f>MIN(Assumptions!$B$9*Assumptions!$B$16,Assumptions!$B$17+(Assumptions!$B$9*Assumptions!$B$16-Assumptions!$B$17)*MIN(R4,Assumptions!$B$29)/Assumptions!$B$29)</f>
        <v>71.333333333333343</v>
      </c>
      <c r="S8" s="62">
        <f>MIN(Assumptions!$B$9*Assumptions!$B$16,Assumptions!$B$17+(Assumptions!$B$9*Assumptions!$B$16-Assumptions!$B$17)*MIN(S4,Assumptions!$B$29)/Assumptions!$B$29)</f>
        <v>72.088888888888903</v>
      </c>
      <c r="T8" s="62">
        <f>MIN(Assumptions!$B$9*Assumptions!$B$16,Assumptions!$B$17+(Assumptions!$B$9*Assumptions!$B$16-Assumptions!$B$17)*MIN(T4,Assumptions!$B$29)/Assumptions!$B$29)</f>
        <v>72.844444444444449</v>
      </c>
      <c r="U8" s="62">
        <f>MIN(Assumptions!$B$9*Assumptions!$B$16,Assumptions!$B$17+(Assumptions!$B$9*Assumptions!$B$16-Assumptions!$B$17)*MIN(U4,Assumptions!$B$29)/Assumptions!$B$29)</f>
        <v>73.600000000000009</v>
      </c>
      <c r="V8" s="62">
        <f>MIN(Assumptions!$B$9*Assumptions!$B$16,Assumptions!$B$17+(Assumptions!$B$9*Assumptions!$B$16-Assumptions!$B$17)*MIN(V4,Assumptions!$B$29)/Assumptions!$B$29)</f>
        <v>73.600000000000009</v>
      </c>
      <c r="W8" s="62">
        <f>MIN(Assumptions!$B$9*Assumptions!$B$16,Assumptions!$B$17+(Assumptions!$B$9*Assumptions!$B$16-Assumptions!$B$17)*MIN(W4,Assumptions!$B$29)/Assumptions!$B$29)</f>
        <v>73.600000000000009</v>
      </c>
      <c r="X8" s="62">
        <f>MIN(Assumptions!$B$9*Assumptions!$B$16,Assumptions!$B$17+(Assumptions!$B$9*Assumptions!$B$16-Assumptions!$B$17)*MIN(X4,Assumptions!$B$29)/Assumptions!$B$29)</f>
        <v>73.600000000000009</v>
      </c>
      <c r="Y8" s="62">
        <f>MIN(Assumptions!$B$9*Assumptions!$B$16,Assumptions!$B$17+(Assumptions!$B$9*Assumptions!$B$16-Assumptions!$B$17)*MIN(Y4,Assumptions!$B$29)/Assumptions!$B$29)</f>
        <v>73.600000000000009</v>
      </c>
      <c r="Z8" s="62">
        <f>MIN(Assumptions!$B$9*Assumptions!$B$16,Assumptions!$B$17+(Assumptions!$B$9*Assumptions!$B$16-Assumptions!$B$17)*MIN(Z4,Assumptions!$B$29)/Assumptions!$B$29)</f>
        <v>73.600000000000009</v>
      </c>
      <c r="AA8" s="62">
        <f>MIN(Assumptions!$B$9*Assumptions!$B$16,Assumptions!$B$17+(Assumptions!$B$9*Assumptions!$B$16-Assumptions!$B$17)*MIN(AA4,Assumptions!$B$29)/Assumptions!$B$29)</f>
        <v>73.600000000000009</v>
      </c>
      <c r="AB8" s="62">
        <f>MIN(Assumptions!$B$9*Assumptions!$B$16,Assumptions!$B$17+(Assumptions!$B$9*Assumptions!$B$16-Assumptions!$B$17)*MIN(AB4,Assumptions!$B$29)/Assumptions!$B$29)</f>
        <v>73.600000000000009</v>
      </c>
      <c r="AC8" s="62">
        <f>MIN(Assumptions!$B$9*Assumptions!$B$16,Assumptions!$B$17+(Assumptions!$B$9*Assumptions!$B$16-Assumptions!$B$17)*MIN(AC4,Assumptions!$B$29)/Assumptions!$B$29)</f>
        <v>73.600000000000009</v>
      </c>
      <c r="AD8" s="62">
        <f>MIN(Assumptions!$B$9*Assumptions!$B$16,Assumptions!$B$17+(Assumptions!$B$9*Assumptions!$B$16-Assumptions!$B$17)*MIN(AD4,Assumptions!$B$29)/Assumptions!$B$29)</f>
        <v>73.600000000000009</v>
      </c>
      <c r="AE8" s="62">
        <f>MIN(Assumptions!$B$9*Assumptions!$B$16,Assumptions!$B$17+(Assumptions!$B$9*Assumptions!$B$16-Assumptions!$B$17)*MIN(AE4,Assumptions!$B$29)/Assumptions!$B$29)</f>
        <v>73.600000000000009</v>
      </c>
      <c r="AF8" s="62">
        <f>MIN(Assumptions!$B$9*Assumptions!$B$16,Assumptions!$B$17+(Assumptions!$B$9*Assumptions!$B$16-Assumptions!$B$17)*MIN(AF4,Assumptions!$B$29)/Assumptions!$B$29)</f>
        <v>73.600000000000009</v>
      </c>
      <c r="AG8" s="62">
        <f>MIN(Assumptions!$B$9*Assumptions!$B$16,Assumptions!$B$17+(Assumptions!$B$9*Assumptions!$B$16-Assumptions!$B$17)*MIN(AG4,Assumptions!$B$29)/Assumptions!$B$29)</f>
        <v>73.600000000000009</v>
      </c>
      <c r="AH8" s="62">
        <f>MIN(Assumptions!$B$9*Assumptions!$B$16,Assumptions!$B$17+(Assumptions!$B$9*Assumptions!$B$16-Assumptions!$B$17)*MIN(AH4,Assumptions!$B$29)/Assumptions!$B$29)</f>
        <v>73.600000000000009</v>
      </c>
      <c r="AI8" s="62">
        <f>MIN(Assumptions!$B$9*Assumptions!$B$16,Assumptions!$B$17+(Assumptions!$B$9*Assumptions!$B$16-Assumptions!$B$17)*MIN(AI4,Assumptions!$B$29)/Assumptions!$B$29)</f>
        <v>73.600000000000009</v>
      </c>
      <c r="AJ8" s="62">
        <f>MIN(Assumptions!$B$9*Assumptions!$B$16,Assumptions!$B$17+(Assumptions!$B$9*Assumptions!$B$16-Assumptions!$B$17)*MIN(AJ4,Assumptions!$B$29)/Assumptions!$B$29)</f>
        <v>73.600000000000009</v>
      </c>
      <c r="AK8" s="62">
        <f>MIN(Assumptions!$B$9*Assumptions!$B$16,Assumptions!$B$17+(Assumptions!$B$9*Assumptions!$B$16-Assumptions!$B$17)*MIN(AK4,Assumptions!$B$29)/Assumptions!$B$29)</f>
        <v>73.600000000000009</v>
      </c>
      <c r="AL8" s="62">
        <f>MIN(Assumptions!$B$9*Assumptions!$B$16,Assumptions!$B$17+(Assumptions!$B$9*Assumptions!$B$16-Assumptions!$B$17)*MIN(AL4,Assumptions!$B$29)/Assumptions!$B$29)</f>
        <v>73.600000000000009</v>
      </c>
      <c r="AM8" s="62">
        <f>MIN(Assumptions!$B$9*Assumptions!$B$16,Assumptions!$B$17+(Assumptions!$B$9*Assumptions!$B$16-Assumptions!$B$17)*MIN(AM4,Assumptions!$B$29)/Assumptions!$B$29)</f>
        <v>73.600000000000009</v>
      </c>
      <c r="AN8" s="62">
        <f>MIN(Assumptions!$B$9*Assumptions!$B$16,Assumptions!$B$17+(Assumptions!$B$9*Assumptions!$B$16-Assumptions!$B$17)*MIN(AN4,Assumptions!$B$29)/Assumptions!$B$29)</f>
        <v>73.600000000000009</v>
      </c>
      <c r="AO8" s="62">
        <f>MIN(Assumptions!$B$9*Assumptions!$B$16,Assumptions!$B$17+(Assumptions!$B$9*Assumptions!$B$16-Assumptions!$B$17)*MIN(AO4,Assumptions!$B$29)/Assumptions!$B$29)</f>
        <v>73.600000000000009</v>
      </c>
      <c r="AP8" s="62">
        <f>MIN(Assumptions!$B$9*Assumptions!$B$16,Assumptions!$B$17+(Assumptions!$B$9*Assumptions!$B$16-Assumptions!$B$17)*MIN(AP4,Assumptions!$B$29)/Assumptions!$B$29)</f>
        <v>73.600000000000009</v>
      </c>
      <c r="AQ8" s="62">
        <f>MIN(Assumptions!$B$9*Assumptions!$B$16,Assumptions!$B$17+(Assumptions!$B$9*Assumptions!$B$16-Assumptions!$B$17)*MIN(AQ4,Assumptions!$B$29)/Assumptions!$B$29)</f>
        <v>73.600000000000009</v>
      </c>
      <c r="AR8" s="62">
        <f>MIN(Assumptions!$B$9*Assumptions!$B$16,Assumptions!$B$17+(Assumptions!$B$9*Assumptions!$B$16-Assumptions!$B$17)*MIN(AR4,Assumptions!$B$29)/Assumptions!$B$29)</f>
        <v>73.600000000000009</v>
      </c>
      <c r="AS8" s="62">
        <f>MIN(Assumptions!$B$9*Assumptions!$B$16,Assumptions!$B$17+(Assumptions!$B$9*Assumptions!$B$16-Assumptions!$B$17)*MIN(AS4,Assumptions!$B$29)/Assumptions!$B$29)</f>
        <v>73.600000000000009</v>
      </c>
      <c r="AT8" s="62">
        <f>MIN(Assumptions!$B$9*Assumptions!$B$16,Assumptions!$B$17+(Assumptions!$B$9*Assumptions!$B$16-Assumptions!$B$17)*MIN(AT4,Assumptions!$B$29)/Assumptions!$B$29)</f>
        <v>73.600000000000009</v>
      </c>
      <c r="AU8" s="62">
        <f>MIN(Assumptions!$B$9*Assumptions!$B$16,Assumptions!$B$17+(Assumptions!$B$9*Assumptions!$B$16-Assumptions!$B$17)*MIN(AU4,Assumptions!$B$29)/Assumptions!$B$29)</f>
        <v>73.600000000000009</v>
      </c>
      <c r="AV8" s="62">
        <f>MIN(Assumptions!$B$9*Assumptions!$B$16,Assumptions!$B$17+(Assumptions!$B$9*Assumptions!$B$16-Assumptions!$B$17)*MIN(AV4,Assumptions!$B$29)/Assumptions!$B$29)</f>
        <v>73.600000000000009</v>
      </c>
      <c r="AW8" s="62">
        <f>MIN(Assumptions!$B$9*Assumptions!$B$16,Assumptions!$B$17+(Assumptions!$B$9*Assumptions!$B$16-Assumptions!$B$17)*MIN(AW4,Assumptions!$B$29)/Assumptions!$B$29)</f>
        <v>73.600000000000009</v>
      </c>
      <c r="AX8" s="62">
        <f>MIN(Assumptions!$B$9*Assumptions!$B$16,Assumptions!$B$17+(Assumptions!$B$9*Assumptions!$B$16-Assumptions!$B$17)*MIN(AX4,Assumptions!$B$29)/Assumptions!$B$29)</f>
        <v>73.600000000000009</v>
      </c>
      <c r="AY8" s="62">
        <f>MIN(Assumptions!$B$9*Assumptions!$B$16,Assumptions!$B$17+(Assumptions!$B$9*Assumptions!$B$16-Assumptions!$B$17)*MIN(AY4,Assumptions!$B$29)/Assumptions!$B$29)</f>
        <v>73.600000000000009</v>
      </c>
      <c r="AZ8" s="62">
        <f>MIN(Assumptions!$B$9*Assumptions!$B$16,Assumptions!$B$17+(Assumptions!$B$9*Assumptions!$B$16-Assumptions!$B$17)*MIN(AZ4,Assumptions!$B$29)/Assumptions!$B$29)</f>
        <v>73.600000000000009</v>
      </c>
      <c r="BA8" s="62">
        <f>MIN(Assumptions!$B$9*Assumptions!$B$16,Assumptions!$B$17+(Assumptions!$B$9*Assumptions!$B$16-Assumptions!$B$17)*MIN(BA4,Assumptions!$B$29)/Assumptions!$B$29)</f>
        <v>73.600000000000009</v>
      </c>
      <c r="BB8" s="62">
        <f>MIN(Assumptions!$B$9*Assumptions!$B$16,Assumptions!$B$17+(Assumptions!$B$9*Assumptions!$B$16-Assumptions!$B$17)*MIN(BB4,Assumptions!$B$29)/Assumptions!$B$29)</f>
        <v>73.600000000000009</v>
      </c>
      <c r="BC8" s="62">
        <f>MIN(Assumptions!$B$9*Assumptions!$B$16,Assumptions!$B$17+(Assumptions!$B$9*Assumptions!$B$16-Assumptions!$B$17)*MIN(BC4,Assumptions!$B$29)/Assumptions!$B$29)</f>
        <v>73.600000000000009</v>
      </c>
      <c r="BD8" s="62">
        <f>MIN(Assumptions!$B$9*Assumptions!$B$16,Assumptions!$B$17+(Assumptions!$B$9*Assumptions!$B$16-Assumptions!$B$17)*MIN(BD4,Assumptions!$B$29)/Assumptions!$B$29)</f>
        <v>73.600000000000009</v>
      </c>
      <c r="BE8" s="62">
        <f>MIN(Assumptions!$B$9*Assumptions!$B$16,Assumptions!$B$17+(Assumptions!$B$9*Assumptions!$B$16-Assumptions!$B$17)*MIN(BE4,Assumptions!$B$29)/Assumptions!$B$29)</f>
        <v>73.600000000000009</v>
      </c>
      <c r="BF8" s="62">
        <f>MIN(Assumptions!$B$9*Assumptions!$B$16,Assumptions!$B$17+(Assumptions!$B$9*Assumptions!$B$16-Assumptions!$B$17)*MIN(BF4,Assumptions!$B$29)/Assumptions!$B$29)</f>
        <v>73.600000000000009</v>
      </c>
      <c r="BG8" s="62">
        <f>MIN(Assumptions!$B$9*Assumptions!$B$16,Assumptions!$B$17+(Assumptions!$B$9*Assumptions!$B$16-Assumptions!$B$17)*MIN(BG4,Assumptions!$B$29)/Assumptions!$B$29)</f>
        <v>73.600000000000009</v>
      </c>
      <c r="BH8" s="62">
        <f>MIN(Assumptions!$B$9*Assumptions!$B$16,Assumptions!$B$17+(Assumptions!$B$9*Assumptions!$B$16-Assumptions!$B$17)*MIN(BH4,Assumptions!$B$29)/Assumptions!$B$29)</f>
        <v>73.600000000000009</v>
      </c>
      <c r="BI8" s="62">
        <f>MIN(Assumptions!$B$9*Assumptions!$B$16,Assumptions!$B$17+(Assumptions!$B$9*Assumptions!$B$16-Assumptions!$B$17)*MIN(BI4,Assumptions!$B$29)/Assumptions!$B$29)</f>
        <v>73.600000000000009</v>
      </c>
      <c r="BJ8" s="62">
        <f>MIN(Assumptions!$B$9*Assumptions!$B$16,Assumptions!$B$17+(Assumptions!$B$9*Assumptions!$B$16-Assumptions!$B$17)*MIN(BJ4,Assumptions!$B$29)/Assumptions!$B$29)</f>
        <v>73.600000000000009</v>
      </c>
      <c r="BK8" s="62">
        <f>MIN(Assumptions!$B$9*Assumptions!$B$16,Assumptions!$B$17+(Assumptions!$B$9*Assumptions!$B$16-Assumptions!$B$17)*MIN(BK4,Assumptions!$B$29)/Assumptions!$B$29)</f>
        <v>73.600000000000009</v>
      </c>
      <c r="BL8" s="62">
        <f>MIN(Assumptions!$B$9*Assumptions!$B$16,Assumptions!$B$17+(Assumptions!$B$9*Assumptions!$B$16-Assumptions!$B$17)*MIN(BL4,Assumptions!$B$29)/Assumptions!$B$29)</f>
        <v>73.600000000000009</v>
      </c>
      <c r="BM8" s="62">
        <f>MIN(Assumptions!$B$9*Assumptions!$B$16,Assumptions!$B$17+(Assumptions!$B$9*Assumptions!$B$16-Assumptions!$B$17)*MIN(BM4,Assumptions!$B$29)/Assumptions!$B$29)</f>
        <v>73.600000000000009</v>
      </c>
      <c r="BN8" s="62">
        <f>MIN(Assumptions!$B$9*Assumptions!$B$16,Assumptions!$B$17+(Assumptions!$B$9*Assumptions!$B$16-Assumptions!$B$17)*MIN(BN4,Assumptions!$B$29)/Assumptions!$B$29)</f>
        <v>73.600000000000009</v>
      </c>
      <c r="BO8" s="62">
        <f>MIN(Assumptions!$B$9*Assumptions!$B$16,Assumptions!$B$17+(Assumptions!$B$9*Assumptions!$B$16-Assumptions!$B$17)*MIN(BO4,Assumptions!$B$29)/Assumptions!$B$29)</f>
        <v>73.600000000000009</v>
      </c>
      <c r="BP8" s="62">
        <f>MIN(Assumptions!$B$9*Assumptions!$B$16,Assumptions!$B$17+(Assumptions!$B$9*Assumptions!$B$16-Assumptions!$B$17)*MIN(BP4,Assumptions!$B$29)/Assumptions!$B$29)</f>
        <v>73.600000000000009</v>
      </c>
      <c r="BQ8" s="62">
        <f>MIN(Assumptions!$B$9*Assumptions!$B$16,Assumptions!$B$17+(Assumptions!$B$9*Assumptions!$B$16-Assumptions!$B$17)*MIN(BQ4,Assumptions!$B$29)/Assumptions!$B$29)</f>
        <v>73.600000000000009</v>
      </c>
      <c r="BR8" s="62">
        <f>MIN(Assumptions!$B$9*Assumptions!$B$16,Assumptions!$B$17+(Assumptions!$B$9*Assumptions!$B$16-Assumptions!$B$17)*MIN(BR4,Assumptions!$B$29)/Assumptions!$B$29)</f>
        <v>73.600000000000009</v>
      </c>
      <c r="BS8" s="62">
        <f>MIN(Assumptions!$B$9*Assumptions!$B$16,Assumptions!$B$17+(Assumptions!$B$9*Assumptions!$B$16-Assumptions!$B$17)*MIN(BS4,Assumptions!$B$29)/Assumptions!$B$29)</f>
        <v>73.600000000000009</v>
      </c>
      <c r="BT8" s="62">
        <f>MIN(Assumptions!$B$9*Assumptions!$B$16,Assumptions!$B$17+(Assumptions!$B$9*Assumptions!$B$16-Assumptions!$B$17)*MIN(BT4,Assumptions!$B$29)/Assumptions!$B$29)</f>
        <v>73.600000000000009</v>
      </c>
      <c r="BU8" s="62">
        <f>MIN(Assumptions!$B$9*Assumptions!$B$16,Assumptions!$B$17+(Assumptions!$B$9*Assumptions!$B$16-Assumptions!$B$17)*MIN(BU4,Assumptions!$B$29)/Assumptions!$B$29)</f>
        <v>73.600000000000009</v>
      </c>
      <c r="BV8" s="62">
        <f>MIN(Assumptions!$B$9*Assumptions!$B$16,Assumptions!$B$17+(Assumptions!$B$9*Assumptions!$B$16-Assumptions!$B$17)*MIN(BV4,Assumptions!$B$29)/Assumptions!$B$29)</f>
        <v>73.600000000000009</v>
      </c>
      <c r="BW8" s="62">
        <f>MIN(Assumptions!$B$9*Assumptions!$B$16,Assumptions!$B$17+(Assumptions!$B$9*Assumptions!$B$16-Assumptions!$B$17)*MIN(BW4,Assumptions!$B$29)/Assumptions!$B$29)</f>
        <v>73.600000000000009</v>
      </c>
      <c r="BX8" s="62">
        <f>MIN(Assumptions!$B$9*Assumptions!$B$16,Assumptions!$B$17+(Assumptions!$B$9*Assumptions!$B$16-Assumptions!$B$17)*MIN(BX4,Assumptions!$B$29)/Assumptions!$B$29)</f>
        <v>73.600000000000009</v>
      </c>
      <c r="BY8" s="62">
        <f>MIN(Assumptions!$B$9*Assumptions!$B$16,Assumptions!$B$17+(Assumptions!$B$9*Assumptions!$B$16-Assumptions!$B$17)*MIN(BY4,Assumptions!$B$29)/Assumptions!$B$29)</f>
        <v>73.600000000000009</v>
      </c>
      <c r="BZ8" s="62">
        <f>MIN(Assumptions!$B$9*Assumptions!$B$16,Assumptions!$B$17+(Assumptions!$B$9*Assumptions!$B$16-Assumptions!$B$17)*MIN(BZ4,Assumptions!$B$29)/Assumptions!$B$29)</f>
        <v>73.600000000000009</v>
      </c>
      <c r="CA8" s="62">
        <f>MIN(Assumptions!$B$9*Assumptions!$B$16,Assumptions!$B$17+(Assumptions!$B$9*Assumptions!$B$16-Assumptions!$B$17)*MIN(CA4,Assumptions!$B$29)/Assumptions!$B$29)</f>
        <v>73.600000000000009</v>
      </c>
      <c r="CB8" s="62">
        <f>MIN(Assumptions!$B$9*Assumptions!$B$16,Assumptions!$B$17+(Assumptions!$B$9*Assumptions!$B$16-Assumptions!$B$17)*MIN(CB4,Assumptions!$B$29)/Assumptions!$B$29)</f>
        <v>73.600000000000009</v>
      </c>
      <c r="CC8" s="62">
        <f>MIN(Assumptions!$B$9*Assumptions!$B$16,Assumptions!$B$17+(Assumptions!$B$9*Assumptions!$B$16-Assumptions!$B$17)*MIN(CC4,Assumptions!$B$29)/Assumptions!$B$29)</f>
        <v>73.600000000000009</v>
      </c>
      <c r="CD8" s="62">
        <f>MIN(Assumptions!$B$9*Assumptions!$B$16,Assumptions!$B$17+(Assumptions!$B$9*Assumptions!$B$16-Assumptions!$B$17)*MIN(CD4,Assumptions!$B$29)/Assumptions!$B$29)</f>
        <v>73.600000000000009</v>
      </c>
      <c r="CE8" s="62">
        <f>MIN(Assumptions!$B$9*Assumptions!$B$16,Assumptions!$B$17+(Assumptions!$B$9*Assumptions!$B$16-Assumptions!$B$17)*MIN(CE4,Assumptions!$B$29)/Assumptions!$B$29)</f>
        <v>73.600000000000009</v>
      </c>
      <c r="CF8" s="62">
        <f>MIN(Assumptions!$B$9*Assumptions!$B$16,Assumptions!$B$17+(Assumptions!$B$9*Assumptions!$B$16-Assumptions!$B$17)*MIN(CF4,Assumptions!$B$29)/Assumptions!$B$29)</f>
        <v>73.600000000000009</v>
      </c>
      <c r="CG8" s="62">
        <f>MIN(Assumptions!$B$9*Assumptions!$B$16,Assumptions!$B$17+(Assumptions!$B$9*Assumptions!$B$16-Assumptions!$B$17)*MIN(CG4,Assumptions!$B$29)/Assumptions!$B$29)</f>
        <v>73.600000000000009</v>
      </c>
      <c r="CH8" s="62">
        <f>MIN(Assumptions!$B$9*Assumptions!$B$16,Assumptions!$B$17+(Assumptions!$B$9*Assumptions!$B$16-Assumptions!$B$17)*MIN(CH4,Assumptions!$B$29)/Assumptions!$B$29)</f>
        <v>73.600000000000009</v>
      </c>
      <c r="CI8" s="62">
        <f>MIN(Assumptions!$B$9*Assumptions!$B$16,Assumptions!$B$17+(Assumptions!$B$9*Assumptions!$B$16-Assumptions!$B$17)*MIN(CI4,Assumptions!$B$29)/Assumptions!$B$29)</f>
        <v>73.600000000000009</v>
      </c>
      <c r="CJ8" s="62">
        <f>MIN(Assumptions!$B$9*Assumptions!$B$16,Assumptions!$B$17+(Assumptions!$B$9*Assumptions!$B$16-Assumptions!$B$17)*MIN(CJ4,Assumptions!$B$29)/Assumptions!$B$29)</f>
        <v>73.600000000000009</v>
      </c>
      <c r="CK8" s="62">
        <f>MIN(Assumptions!$B$9*Assumptions!$B$16,Assumptions!$B$17+(Assumptions!$B$9*Assumptions!$B$16-Assumptions!$B$17)*MIN(CK4,Assumptions!$B$29)/Assumptions!$B$29)</f>
        <v>73.600000000000009</v>
      </c>
      <c r="CL8" s="62">
        <f>MIN(Assumptions!$B$9*Assumptions!$B$16,Assumptions!$B$17+(Assumptions!$B$9*Assumptions!$B$16-Assumptions!$B$17)*MIN(CL4,Assumptions!$B$29)/Assumptions!$B$29)</f>
        <v>73.600000000000009</v>
      </c>
      <c r="CM8" s="62">
        <f>MIN(Assumptions!$B$9*Assumptions!$B$16,Assumptions!$B$17+(Assumptions!$B$9*Assumptions!$B$16-Assumptions!$B$17)*MIN(CM4,Assumptions!$B$29)/Assumptions!$B$29)</f>
        <v>73.600000000000009</v>
      </c>
      <c r="CN8" s="62">
        <f>MIN(Assumptions!$B$9*Assumptions!$B$16,Assumptions!$B$17+(Assumptions!$B$9*Assumptions!$B$16-Assumptions!$B$17)*MIN(CN4,Assumptions!$B$29)/Assumptions!$B$29)</f>
        <v>73.600000000000009</v>
      </c>
      <c r="CO8" s="62">
        <f>MIN(Assumptions!$B$9*Assumptions!$B$16,Assumptions!$B$17+(Assumptions!$B$9*Assumptions!$B$16-Assumptions!$B$17)*MIN(CO4,Assumptions!$B$29)/Assumptions!$B$29)</f>
        <v>73.600000000000009</v>
      </c>
      <c r="CP8" s="62">
        <f>MIN(Assumptions!$B$9*Assumptions!$B$16,Assumptions!$B$17+(Assumptions!$B$9*Assumptions!$B$16-Assumptions!$B$17)*MIN(CP4,Assumptions!$B$29)/Assumptions!$B$29)</f>
        <v>73.600000000000009</v>
      </c>
      <c r="CQ8" s="62">
        <f>MIN(Assumptions!$B$9*Assumptions!$B$16,Assumptions!$B$17+(Assumptions!$B$9*Assumptions!$B$16-Assumptions!$B$17)*MIN(CQ4,Assumptions!$B$29)/Assumptions!$B$29)</f>
        <v>73.600000000000009</v>
      </c>
      <c r="CR8" s="62">
        <f>MIN(Assumptions!$B$9*Assumptions!$B$16,Assumptions!$B$17+(Assumptions!$B$9*Assumptions!$B$16-Assumptions!$B$17)*MIN(CR4,Assumptions!$B$29)/Assumptions!$B$29)</f>
        <v>73.600000000000009</v>
      </c>
      <c r="CS8" s="62">
        <f>MIN(Assumptions!$B$9*Assumptions!$B$16,Assumptions!$B$17+(Assumptions!$B$9*Assumptions!$B$16-Assumptions!$B$17)*MIN(CS4,Assumptions!$B$29)/Assumptions!$B$29)</f>
        <v>73.600000000000009</v>
      </c>
      <c r="CT8" s="62">
        <f>MIN(Assumptions!$B$9*Assumptions!$B$16,Assumptions!$B$17+(Assumptions!$B$9*Assumptions!$B$16-Assumptions!$B$17)*MIN(CT4,Assumptions!$B$29)/Assumptions!$B$29)</f>
        <v>73.600000000000009</v>
      </c>
      <c r="CU8" s="62">
        <f>MIN(Assumptions!$B$9*Assumptions!$B$16,Assumptions!$B$17+(Assumptions!$B$9*Assumptions!$B$16-Assumptions!$B$17)*MIN(CU4,Assumptions!$B$29)/Assumptions!$B$29)</f>
        <v>73.600000000000009</v>
      </c>
      <c r="CV8" s="62">
        <f>MIN(Assumptions!$B$9*Assumptions!$B$16,Assumptions!$B$17+(Assumptions!$B$9*Assumptions!$B$16-Assumptions!$B$17)*MIN(CV4,Assumptions!$B$29)/Assumptions!$B$29)</f>
        <v>73.600000000000009</v>
      </c>
      <c r="CW8" s="62">
        <f>MIN(Assumptions!$B$9*Assumptions!$B$16,Assumptions!$B$17+(Assumptions!$B$9*Assumptions!$B$16-Assumptions!$B$17)*MIN(CW4,Assumptions!$B$29)/Assumptions!$B$29)</f>
        <v>73.600000000000009</v>
      </c>
      <c r="CX8" s="62">
        <f>MIN(Assumptions!$B$9*Assumptions!$B$16,Assumptions!$B$17+(Assumptions!$B$9*Assumptions!$B$16-Assumptions!$B$17)*MIN(CX4,Assumptions!$B$29)/Assumptions!$B$29)</f>
        <v>73.600000000000009</v>
      </c>
      <c r="CY8" s="62">
        <f>MIN(Assumptions!$B$9*Assumptions!$B$16,Assumptions!$B$17+(Assumptions!$B$9*Assumptions!$B$16-Assumptions!$B$17)*MIN(CY4,Assumptions!$B$29)/Assumptions!$B$29)</f>
        <v>73.600000000000009</v>
      </c>
      <c r="CZ8" s="62">
        <f>MIN(Assumptions!$B$9*Assumptions!$B$16,Assumptions!$B$17+(Assumptions!$B$9*Assumptions!$B$16-Assumptions!$B$17)*MIN(CZ4,Assumptions!$B$29)/Assumptions!$B$29)</f>
        <v>73.600000000000009</v>
      </c>
      <c r="DA8" s="62">
        <f>MIN(Assumptions!$B$9*Assumptions!$B$16,Assumptions!$B$17+(Assumptions!$B$9*Assumptions!$B$16-Assumptions!$B$17)*MIN(DA4,Assumptions!$B$29)/Assumptions!$B$29)</f>
        <v>73.600000000000009</v>
      </c>
      <c r="DB8" s="62">
        <f>MIN(Assumptions!$B$9*Assumptions!$B$16,Assumptions!$B$17+(Assumptions!$B$9*Assumptions!$B$16-Assumptions!$B$17)*MIN(DB4,Assumptions!$B$29)/Assumptions!$B$29)</f>
        <v>73.600000000000009</v>
      </c>
      <c r="DC8" s="62">
        <f>MIN(Assumptions!$B$9*Assumptions!$B$16,Assumptions!$B$17+(Assumptions!$B$9*Assumptions!$B$16-Assumptions!$B$17)*MIN(DC4,Assumptions!$B$29)/Assumptions!$B$29)</f>
        <v>73.600000000000009</v>
      </c>
      <c r="DD8" s="62">
        <f>MIN(Assumptions!$B$9*Assumptions!$B$16,Assumptions!$B$17+(Assumptions!$B$9*Assumptions!$B$16-Assumptions!$B$17)*MIN(DD4,Assumptions!$B$29)/Assumptions!$B$29)</f>
        <v>73.600000000000009</v>
      </c>
      <c r="DE8" s="62">
        <f>MIN(Assumptions!$B$9*Assumptions!$B$16,Assumptions!$B$17+(Assumptions!$B$9*Assumptions!$B$16-Assumptions!$B$17)*MIN(DE4,Assumptions!$B$29)/Assumptions!$B$29)</f>
        <v>73.600000000000009</v>
      </c>
      <c r="DF8" s="62">
        <f>MIN(Assumptions!$B$9*Assumptions!$B$16,Assumptions!$B$17+(Assumptions!$B$9*Assumptions!$B$16-Assumptions!$B$17)*MIN(DF4,Assumptions!$B$29)/Assumptions!$B$29)</f>
        <v>73.600000000000009</v>
      </c>
      <c r="DG8" s="62">
        <f>MIN(Assumptions!$B$9*Assumptions!$B$16,Assumptions!$B$17+(Assumptions!$B$9*Assumptions!$B$16-Assumptions!$B$17)*MIN(DG4,Assumptions!$B$29)/Assumptions!$B$29)</f>
        <v>73.600000000000009</v>
      </c>
      <c r="DH8" s="62">
        <f>MIN(Assumptions!$B$9*Assumptions!$B$16,Assumptions!$B$17+(Assumptions!$B$9*Assumptions!$B$16-Assumptions!$B$17)*MIN(DH4,Assumptions!$B$29)/Assumptions!$B$29)</f>
        <v>73.600000000000009</v>
      </c>
      <c r="DI8" s="62">
        <f>MIN(Assumptions!$B$9*Assumptions!$B$16,Assumptions!$B$17+(Assumptions!$B$9*Assumptions!$B$16-Assumptions!$B$17)*MIN(DI4,Assumptions!$B$29)/Assumptions!$B$29)</f>
        <v>73.600000000000009</v>
      </c>
      <c r="DJ8" s="62">
        <f>MIN(Assumptions!$B$9*Assumptions!$B$16,Assumptions!$B$17+(Assumptions!$B$9*Assumptions!$B$16-Assumptions!$B$17)*MIN(DJ4,Assumptions!$B$29)/Assumptions!$B$29)</f>
        <v>73.600000000000009</v>
      </c>
      <c r="DK8" s="62">
        <f>MIN(Assumptions!$B$9*Assumptions!$B$16,Assumptions!$B$17+(Assumptions!$B$9*Assumptions!$B$16-Assumptions!$B$17)*MIN(DK4,Assumptions!$B$29)/Assumptions!$B$29)</f>
        <v>73.600000000000009</v>
      </c>
      <c r="DL8" s="62">
        <f>MIN(Assumptions!$B$9*Assumptions!$B$16,Assumptions!$B$17+(Assumptions!$B$9*Assumptions!$B$16-Assumptions!$B$17)*MIN(DL4,Assumptions!$B$29)/Assumptions!$B$29)</f>
        <v>73.600000000000009</v>
      </c>
      <c r="DM8" s="62">
        <f>MIN(Assumptions!$B$9*Assumptions!$B$16,Assumptions!$B$17+(Assumptions!$B$9*Assumptions!$B$16-Assumptions!$B$17)*MIN(DM4,Assumptions!$B$29)/Assumptions!$B$29)</f>
        <v>73.600000000000009</v>
      </c>
      <c r="DN8" s="62">
        <f>MIN(Assumptions!$B$9*Assumptions!$B$16,Assumptions!$B$17+(Assumptions!$B$9*Assumptions!$B$16-Assumptions!$B$17)*MIN(DN4,Assumptions!$B$29)/Assumptions!$B$29)</f>
        <v>73.600000000000009</v>
      </c>
      <c r="DO8" s="62">
        <f>MIN(Assumptions!$B$9*Assumptions!$B$16,Assumptions!$B$17+(Assumptions!$B$9*Assumptions!$B$16-Assumptions!$B$17)*MIN(DO4,Assumptions!$B$29)/Assumptions!$B$29)</f>
        <v>73.600000000000009</v>
      </c>
      <c r="DP8" s="62">
        <f>MIN(Assumptions!$B$9*Assumptions!$B$16,Assumptions!$B$17+(Assumptions!$B$9*Assumptions!$B$16-Assumptions!$B$17)*MIN(DP4,Assumptions!$B$29)/Assumptions!$B$29)</f>
        <v>73.600000000000009</v>
      </c>
      <c r="DQ8" s="62">
        <f>MIN(Assumptions!$B$9*Assumptions!$B$16,Assumptions!$B$17+(Assumptions!$B$9*Assumptions!$B$16-Assumptions!$B$17)*MIN(DQ4,Assumptions!$B$29)/Assumptions!$B$29)</f>
        <v>73.600000000000009</v>
      </c>
      <c r="DR8" s="62">
        <f>MIN(Assumptions!$B$9*Assumptions!$B$16,Assumptions!$B$17+(Assumptions!$B$9*Assumptions!$B$16-Assumptions!$B$17)*MIN(DR4,Assumptions!$B$29)/Assumptions!$B$29)</f>
        <v>73.600000000000009</v>
      </c>
      <c r="DS8" s="62">
        <f>MIN(Assumptions!$B$9*Assumptions!$B$16,Assumptions!$B$17+(Assumptions!$B$9*Assumptions!$B$16-Assumptions!$B$17)*MIN(DS4,Assumptions!$B$29)/Assumptions!$B$29)</f>
        <v>73.600000000000009</v>
      </c>
    </row>
    <row r="9" spans="1:123" x14ac:dyDescent="0.25">
      <c r="A9" s="1" t="s">
        <v>295</v>
      </c>
      <c r="D9" s="63">
        <f>D8/Assumptions!$B$16</f>
        <v>0.75944444444444437</v>
      </c>
      <c r="E9" s="63">
        <f>E8/Assumptions!$B$16</f>
        <v>0.76888888888888896</v>
      </c>
      <c r="F9" s="63">
        <f>F8/Assumptions!$B$16</f>
        <v>0.77833333333333332</v>
      </c>
      <c r="G9" s="63">
        <f>G8/Assumptions!$B$16</f>
        <v>0.7877777777777778</v>
      </c>
      <c r="H9" s="63">
        <f>H8/Assumptions!$B$16</f>
        <v>0.79722222222222228</v>
      </c>
      <c r="I9" s="63">
        <f>I8/Assumptions!$B$16</f>
        <v>0.80666666666666664</v>
      </c>
      <c r="J9" s="63">
        <f>J8/Assumptions!$B$16</f>
        <v>0.81611111111111112</v>
      </c>
      <c r="K9" s="63">
        <f>K8/Assumptions!$B$16</f>
        <v>0.8255555555555556</v>
      </c>
      <c r="L9" s="63">
        <f>L8/Assumptions!$B$16</f>
        <v>0.83500000000000019</v>
      </c>
      <c r="M9" s="63">
        <f>M8/Assumptions!$B$16</f>
        <v>0.84444444444444444</v>
      </c>
      <c r="N9" s="63">
        <f>N8/Assumptions!$B$16</f>
        <v>0.85388888888888892</v>
      </c>
      <c r="O9" s="63">
        <f>O8/Assumptions!$B$16</f>
        <v>0.86333333333333351</v>
      </c>
      <c r="P9" s="63">
        <f>P8/Assumptions!$B$16</f>
        <v>0.87277777777777776</v>
      </c>
      <c r="Q9" s="63">
        <f>Q8/Assumptions!$B$16</f>
        <v>0.88222222222222224</v>
      </c>
      <c r="R9" s="63">
        <f>R8/Assumptions!$B$16</f>
        <v>0.89166666666666683</v>
      </c>
      <c r="S9" s="63">
        <f>S8/Assumptions!$B$16</f>
        <v>0.90111111111111131</v>
      </c>
      <c r="T9" s="63">
        <f>T8/Assumptions!$B$16</f>
        <v>0.91055555555555556</v>
      </c>
      <c r="U9" s="63">
        <f>U8/Assumptions!$B$16</f>
        <v>0.92000000000000015</v>
      </c>
      <c r="V9" s="63">
        <f>V8/Assumptions!$B$16</f>
        <v>0.92000000000000015</v>
      </c>
      <c r="W9" s="63">
        <f>W8/Assumptions!$B$16</f>
        <v>0.92000000000000015</v>
      </c>
      <c r="X9" s="63">
        <f>X8/Assumptions!$B$16</f>
        <v>0.92000000000000015</v>
      </c>
      <c r="Y9" s="63">
        <f>Y8/Assumptions!$B$16</f>
        <v>0.92000000000000015</v>
      </c>
      <c r="Z9" s="63">
        <f>Z8/Assumptions!$B$16</f>
        <v>0.92000000000000015</v>
      </c>
      <c r="AA9" s="63">
        <f>AA8/Assumptions!$B$16</f>
        <v>0.92000000000000015</v>
      </c>
      <c r="AB9" s="63">
        <f>AB8/Assumptions!$B$16</f>
        <v>0.92000000000000015</v>
      </c>
      <c r="AC9" s="63">
        <f>AC8/Assumptions!$B$16</f>
        <v>0.92000000000000015</v>
      </c>
      <c r="AD9" s="63">
        <f>AD8/Assumptions!$B$16</f>
        <v>0.92000000000000015</v>
      </c>
      <c r="AE9" s="63">
        <f>AE8/Assumptions!$B$16</f>
        <v>0.92000000000000015</v>
      </c>
      <c r="AF9" s="63">
        <f>AF8/Assumptions!$B$16</f>
        <v>0.92000000000000015</v>
      </c>
      <c r="AG9" s="63">
        <f>AG8/Assumptions!$B$16</f>
        <v>0.92000000000000015</v>
      </c>
      <c r="AH9" s="63">
        <f>AH8/Assumptions!$B$16</f>
        <v>0.92000000000000015</v>
      </c>
      <c r="AI9" s="63">
        <f>AI8/Assumptions!$B$16</f>
        <v>0.92000000000000015</v>
      </c>
      <c r="AJ9" s="63">
        <f>AJ8/Assumptions!$B$16</f>
        <v>0.92000000000000015</v>
      </c>
      <c r="AK9" s="63">
        <f>AK8/Assumptions!$B$16</f>
        <v>0.92000000000000015</v>
      </c>
      <c r="AL9" s="63">
        <f>AL8/Assumptions!$B$16</f>
        <v>0.92000000000000015</v>
      </c>
      <c r="AM9" s="63">
        <f>AM8/Assumptions!$B$16</f>
        <v>0.92000000000000015</v>
      </c>
      <c r="AN9" s="63">
        <f>AN8/Assumptions!$B$16</f>
        <v>0.92000000000000015</v>
      </c>
      <c r="AO9" s="63">
        <f>AO8/Assumptions!$B$16</f>
        <v>0.92000000000000015</v>
      </c>
      <c r="AP9" s="63">
        <f>AP8/Assumptions!$B$16</f>
        <v>0.92000000000000015</v>
      </c>
      <c r="AQ9" s="63">
        <f>AQ8/Assumptions!$B$16</f>
        <v>0.92000000000000015</v>
      </c>
      <c r="AR9" s="63">
        <f>AR8/Assumptions!$B$16</f>
        <v>0.92000000000000015</v>
      </c>
      <c r="AS9" s="63">
        <f>AS8/Assumptions!$B$16</f>
        <v>0.92000000000000015</v>
      </c>
      <c r="AT9" s="63">
        <f>AT8/Assumptions!$B$16</f>
        <v>0.92000000000000015</v>
      </c>
      <c r="AU9" s="63">
        <f>AU8/Assumptions!$B$16</f>
        <v>0.92000000000000015</v>
      </c>
      <c r="AV9" s="63">
        <f>AV8/Assumptions!$B$16</f>
        <v>0.92000000000000015</v>
      </c>
      <c r="AW9" s="63">
        <f>AW8/Assumptions!$B$16</f>
        <v>0.92000000000000015</v>
      </c>
      <c r="AX9" s="63">
        <f>AX8/Assumptions!$B$16</f>
        <v>0.92000000000000015</v>
      </c>
      <c r="AY9" s="63">
        <f>AY8/Assumptions!$B$16</f>
        <v>0.92000000000000015</v>
      </c>
      <c r="AZ9" s="63">
        <f>AZ8/Assumptions!$B$16</f>
        <v>0.92000000000000015</v>
      </c>
      <c r="BA9" s="63">
        <f>BA8/Assumptions!$B$16</f>
        <v>0.92000000000000015</v>
      </c>
      <c r="BB9" s="63">
        <f>BB8/Assumptions!$B$16</f>
        <v>0.92000000000000015</v>
      </c>
      <c r="BC9" s="63">
        <f>BC8/Assumptions!$B$16</f>
        <v>0.92000000000000015</v>
      </c>
      <c r="BD9" s="63">
        <f>BD8/Assumptions!$B$16</f>
        <v>0.92000000000000015</v>
      </c>
      <c r="BE9" s="63">
        <f>BE8/Assumptions!$B$16</f>
        <v>0.92000000000000015</v>
      </c>
      <c r="BF9" s="63">
        <f>BF8/Assumptions!$B$16</f>
        <v>0.92000000000000015</v>
      </c>
      <c r="BG9" s="63">
        <f>BG8/Assumptions!$B$16</f>
        <v>0.92000000000000015</v>
      </c>
      <c r="BH9" s="63">
        <f>BH8/Assumptions!$B$16</f>
        <v>0.92000000000000015</v>
      </c>
      <c r="BI9" s="63">
        <f>BI8/Assumptions!$B$16</f>
        <v>0.92000000000000015</v>
      </c>
      <c r="BJ9" s="63">
        <f>BJ8/Assumptions!$B$16</f>
        <v>0.92000000000000015</v>
      </c>
      <c r="BK9" s="63">
        <f>BK8/Assumptions!$B$16</f>
        <v>0.92000000000000015</v>
      </c>
      <c r="BL9" s="63">
        <f>BL8/Assumptions!$B$16</f>
        <v>0.92000000000000015</v>
      </c>
      <c r="BM9" s="63">
        <f>BM8/Assumptions!$B$16</f>
        <v>0.92000000000000015</v>
      </c>
      <c r="BN9" s="63">
        <f>BN8/Assumptions!$B$16</f>
        <v>0.92000000000000015</v>
      </c>
      <c r="BO9" s="63">
        <f>BO8/Assumptions!$B$16</f>
        <v>0.92000000000000015</v>
      </c>
      <c r="BP9" s="63">
        <f>BP8/Assumptions!$B$16</f>
        <v>0.92000000000000015</v>
      </c>
      <c r="BQ9" s="63">
        <f>BQ8/Assumptions!$B$16</f>
        <v>0.92000000000000015</v>
      </c>
      <c r="BR9" s="63">
        <f>BR8/Assumptions!$B$16</f>
        <v>0.92000000000000015</v>
      </c>
      <c r="BS9" s="63">
        <f>BS8/Assumptions!$B$16</f>
        <v>0.92000000000000015</v>
      </c>
      <c r="BT9" s="63">
        <f>BT8/Assumptions!$B$16</f>
        <v>0.92000000000000015</v>
      </c>
      <c r="BU9" s="63">
        <f>BU8/Assumptions!$B$16</f>
        <v>0.92000000000000015</v>
      </c>
      <c r="BV9" s="63">
        <f>BV8/Assumptions!$B$16</f>
        <v>0.92000000000000015</v>
      </c>
      <c r="BW9" s="63">
        <f>BW8/Assumptions!$B$16</f>
        <v>0.92000000000000015</v>
      </c>
      <c r="BX9" s="63">
        <f>BX8/Assumptions!$B$16</f>
        <v>0.92000000000000015</v>
      </c>
      <c r="BY9" s="63">
        <f>BY8/Assumptions!$B$16</f>
        <v>0.92000000000000015</v>
      </c>
      <c r="BZ9" s="63">
        <f>BZ8/Assumptions!$B$16</f>
        <v>0.92000000000000015</v>
      </c>
      <c r="CA9" s="63">
        <f>CA8/Assumptions!$B$16</f>
        <v>0.92000000000000015</v>
      </c>
      <c r="CB9" s="63">
        <f>CB8/Assumptions!$B$16</f>
        <v>0.92000000000000015</v>
      </c>
      <c r="CC9" s="63">
        <f>CC8/Assumptions!$B$16</f>
        <v>0.92000000000000015</v>
      </c>
      <c r="CD9" s="63">
        <f>CD8/Assumptions!$B$16</f>
        <v>0.92000000000000015</v>
      </c>
      <c r="CE9" s="63">
        <f>CE8/Assumptions!$B$16</f>
        <v>0.92000000000000015</v>
      </c>
      <c r="CF9" s="63">
        <f>CF8/Assumptions!$B$16</f>
        <v>0.92000000000000015</v>
      </c>
      <c r="CG9" s="63">
        <f>CG8/Assumptions!$B$16</f>
        <v>0.92000000000000015</v>
      </c>
      <c r="CH9" s="63">
        <f>CH8/Assumptions!$B$16</f>
        <v>0.92000000000000015</v>
      </c>
      <c r="CI9" s="63">
        <f>CI8/Assumptions!$B$16</f>
        <v>0.92000000000000015</v>
      </c>
      <c r="CJ9" s="63">
        <f>CJ8/Assumptions!$B$16</f>
        <v>0.92000000000000015</v>
      </c>
      <c r="CK9" s="63">
        <f>CK8/Assumptions!$B$16</f>
        <v>0.92000000000000015</v>
      </c>
      <c r="CL9" s="63">
        <f>CL8/Assumptions!$B$16</f>
        <v>0.92000000000000015</v>
      </c>
      <c r="CM9" s="63">
        <f>CM8/Assumptions!$B$16</f>
        <v>0.92000000000000015</v>
      </c>
      <c r="CN9" s="63">
        <f>CN8/Assumptions!$B$16</f>
        <v>0.92000000000000015</v>
      </c>
      <c r="CO9" s="63">
        <f>CO8/Assumptions!$B$16</f>
        <v>0.92000000000000015</v>
      </c>
      <c r="CP9" s="63">
        <f>CP8/Assumptions!$B$16</f>
        <v>0.92000000000000015</v>
      </c>
      <c r="CQ9" s="63">
        <f>CQ8/Assumptions!$B$16</f>
        <v>0.92000000000000015</v>
      </c>
      <c r="CR9" s="63">
        <f>CR8/Assumptions!$B$16</f>
        <v>0.92000000000000015</v>
      </c>
      <c r="CS9" s="63">
        <f>CS8/Assumptions!$B$16</f>
        <v>0.92000000000000015</v>
      </c>
      <c r="CT9" s="63">
        <f>CT8/Assumptions!$B$16</f>
        <v>0.92000000000000015</v>
      </c>
      <c r="CU9" s="63">
        <f>CU8/Assumptions!$B$16</f>
        <v>0.92000000000000015</v>
      </c>
      <c r="CV9" s="63">
        <f>CV8/Assumptions!$B$16</f>
        <v>0.92000000000000015</v>
      </c>
      <c r="CW9" s="63">
        <f>CW8/Assumptions!$B$16</f>
        <v>0.92000000000000015</v>
      </c>
      <c r="CX9" s="63">
        <f>CX8/Assumptions!$B$16</f>
        <v>0.92000000000000015</v>
      </c>
      <c r="CY9" s="63">
        <f>CY8/Assumptions!$B$16</f>
        <v>0.92000000000000015</v>
      </c>
      <c r="CZ9" s="63">
        <f>CZ8/Assumptions!$B$16</f>
        <v>0.92000000000000015</v>
      </c>
      <c r="DA9" s="63">
        <f>DA8/Assumptions!$B$16</f>
        <v>0.92000000000000015</v>
      </c>
      <c r="DB9" s="63">
        <f>DB8/Assumptions!$B$16</f>
        <v>0.92000000000000015</v>
      </c>
      <c r="DC9" s="63">
        <f>DC8/Assumptions!$B$16</f>
        <v>0.92000000000000015</v>
      </c>
      <c r="DD9" s="63">
        <f>DD8/Assumptions!$B$16</f>
        <v>0.92000000000000015</v>
      </c>
      <c r="DE9" s="63">
        <f>DE8/Assumptions!$B$16</f>
        <v>0.92000000000000015</v>
      </c>
      <c r="DF9" s="63">
        <f>DF8/Assumptions!$B$16</f>
        <v>0.92000000000000015</v>
      </c>
      <c r="DG9" s="63">
        <f>DG8/Assumptions!$B$16</f>
        <v>0.92000000000000015</v>
      </c>
      <c r="DH9" s="63">
        <f>DH8/Assumptions!$B$16</f>
        <v>0.92000000000000015</v>
      </c>
      <c r="DI9" s="63">
        <f>DI8/Assumptions!$B$16</f>
        <v>0.92000000000000015</v>
      </c>
      <c r="DJ9" s="63">
        <f>DJ8/Assumptions!$B$16</f>
        <v>0.92000000000000015</v>
      </c>
      <c r="DK9" s="63">
        <f>DK8/Assumptions!$B$16</f>
        <v>0.92000000000000015</v>
      </c>
      <c r="DL9" s="63">
        <f>DL8/Assumptions!$B$16</f>
        <v>0.92000000000000015</v>
      </c>
      <c r="DM9" s="63">
        <f>DM8/Assumptions!$B$16</f>
        <v>0.92000000000000015</v>
      </c>
      <c r="DN9" s="63">
        <f>DN8/Assumptions!$B$16</f>
        <v>0.92000000000000015</v>
      </c>
      <c r="DO9" s="63">
        <f>DO8/Assumptions!$B$16</f>
        <v>0.92000000000000015</v>
      </c>
      <c r="DP9" s="63">
        <f>DP8/Assumptions!$B$16</f>
        <v>0.92000000000000015</v>
      </c>
      <c r="DQ9" s="63">
        <f>DQ8/Assumptions!$B$16</f>
        <v>0.92000000000000015</v>
      </c>
      <c r="DR9" s="63">
        <f>DR8/Assumptions!$B$16</f>
        <v>0.92000000000000015</v>
      </c>
      <c r="DS9" s="63">
        <f>DS8/Assumptions!$B$16</f>
        <v>0.92000000000000015</v>
      </c>
    </row>
    <row r="10" spans="1:123" x14ac:dyDescent="0.25">
      <c r="A10" s="1" t="s">
        <v>296</v>
      </c>
      <c r="D10" s="64">
        <f>Assumptions!$B$23*(1+Assumptions!$B$10)^(D5-1)</f>
        <v>350</v>
      </c>
      <c r="E10" s="64">
        <f>Assumptions!$B$23*(1+Assumptions!$B$10)^(E5-1)</f>
        <v>350</v>
      </c>
      <c r="F10" s="64">
        <f>Assumptions!$B$23*(1+Assumptions!$B$10)^(F5-1)</f>
        <v>350</v>
      </c>
      <c r="G10" s="64">
        <f>Assumptions!$B$23*(1+Assumptions!$B$10)^(G5-1)</f>
        <v>350</v>
      </c>
      <c r="H10" s="64">
        <f>Assumptions!$B$23*(1+Assumptions!$B$10)^(H5-1)</f>
        <v>350</v>
      </c>
      <c r="I10" s="64">
        <f>Assumptions!$B$23*(1+Assumptions!$B$10)^(I5-1)</f>
        <v>350</v>
      </c>
      <c r="J10" s="64">
        <f>Assumptions!$B$23*(1+Assumptions!$B$10)^(J5-1)</f>
        <v>350</v>
      </c>
      <c r="K10" s="64">
        <f>Assumptions!$B$23*(1+Assumptions!$B$10)^(K5-1)</f>
        <v>350</v>
      </c>
      <c r="L10" s="64">
        <f>Assumptions!$B$23*(1+Assumptions!$B$10)^(L5-1)</f>
        <v>350</v>
      </c>
      <c r="M10" s="64">
        <f>Assumptions!$B$23*(1+Assumptions!$B$10)^(M5-1)</f>
        <v>350</v>
      </c>
      <c r="N10" s="64">
        <f>Assumptions!$B$23*(1+Assumptions!$B$10)^(N5-1)</f>
        <v>350</v>
      </c>
      <c r="O10" s="64">
        <f>Assumptions!$B$23*(1+Assumptions!$B$10)^(O5-1)</f>
        <v>350</v>
      </c>
      <c r="P10" s="64">
        <f>Assumptions!$B$23*(1+Assumptions!$B$10)^(P5-1)</f>
        <v>360.5</v>
      </c>
      <c r="Q10" s="64">
        <f>Assumptions!$B$23*(1+Assumptions!$B$10)^(Q5-1)</f>
        <v>360.5</v>
      </c>
      <c r="R10" s="64">
        <f>Assumptions!$B$23*(1+Assumptions!$B$10)^(R5-1)</f>
        <v>360.5</v>
      </c>
      <c r="S10" s="64">
        <f>Assumptions!$B$23*(1+Assumptions!$B$10)^(S5-1)</f>
        <v>360.5</v>
      </c>
      <c r="T10" s="64">
        <f>Assumptions!$B$23*(1+Assumptions!$B$10)^(T5-1)</f>
        <v>360.5</v>
      </c>
      <c r="U10" s="64">
        <f>Assumptions!$B$23*(1+Assumptions!$B$10)^(U5-1)</f>
        <v>360.5</v>
      </c>
      <c r="V10" s="64">
        <f>Assumptions!$B$23*(1+Assumptions!$B$10)^(V5-1)</f>
        <v>360.5</v>
      </c>
      <c r="W10" s="64">
        <f>Assumptions!$B$23*(1+Assumptions!$B$10)^(W5-1)</f>
        <v>360.5</v>
      </c>
      <c r="X10" s="64">
        <f>Assumptions!$B$23*(1+Assumptions!$B$10)^(X5-1)</f>
        <v>360.5</v>
      </c>
      <c r="Y10" s="64">
        <f>Assumptions!$B$23*(1+Assumptions!$B$10)^(Y5-1)</f>
        <v>360.5</v>
      </c>
      <c r="Z10" s="64">
        <f>Assumptions!$B$23*(1+Assumptions!$B$10)^(Z5-1)</f>
        <v>360.5</v>
      </c>
      <c r="AA10" s="64">
        <f>Assumptions!$B$23*(1+Assumptions!$B$10)^(AA5-1)</f>
        <v>360.5</v>
      </c>
      <c r="AB10" s="64">
        <f>Assumptions!$B$23*(1+Assumptions!$B$10)^(AB5-1)</f>
        <v>371.315</v>
      </c>
      <c r="AC10" s="64">
        <f>Assumptions!$B$23*(1+Assumptions!$B$10)^(AC5-1)</f>
        <v>371.315</v>
      </c>
      <c r="AD10" s="64">
        <f>Assumptions!$B$23*(1+Assumptions!$B$10)^(AD5-1)</f>
        <v>371.315</v>
      </c>
      <c r="AE10" s="64">
        <f>Assumptions!$B$23*(1+Assumptions!$B$10)^(AE5-1)</f>
        <v>371.315</v>
      </c>
      <c r="AF10" s="64">
        <f>Assumptions!$B$23*(1+Assumptions!$B$10)^(AF5-1)</f>
        <v>371.315</v>
      </c>
      <c r="AG10" s="64">
        <f>Assumptions!$B$23*(1+Assumptions!$B$10)^(AG5-1)</f>
        <v>371.315</v>
      </c>
      <c r="AH10" s="64">
        <f>Assumptions!$B$23*(1+Assumptions!$B$10)^(AH5-1)</f>
        <v>371.315</v>
      </c>
      <c r="AI10" s="64">
        <f>Assumptions!$B$23*(1+Assumptions!$B$10)^(AI5-1)</f>
        <v>371.315</v>
      </c>
      <c r="AJ10" s="64">
        <f>Assumptions!$B$23*(1+Assumptions!$B$10)^(AJ5-1)</f>
        <v>371.315</v>
      </c>
      <c r="AK10" s="64">
        <f>Assumptions!$B$23*(1+Assumptions!$B$10)^(AK5-1)</f>
        <v>371.315</v>
      </c>
      <c r="AL10" s="64">
        <f>Assumptions!$B$23*(1+Assumptions!$B$10)^(AL5-1)</f>
        <v>371.315</v>
      </c>
      <c r="AM10" s="64">
        <f>Assumptions!$B$23*(1+Assumptions!$B$10)^(AM5-1)</f>
        <v>371.315</v>
      </c>
      <c r="AN10" s="64">
        <f>Assumptions!$B$23*(1+Assumptions!$B$10)^(AN5-1)</f>
        <v>382.45445000000001</v>
      </c>
      <c r="AO10" s="64">
        <f>Assumptions!$B$23*(1+Assumptions!$B$10)^(AO5-1)</f>
        <v>382.45445000000001</v>
      </c>
      <c r="AP10" s="64">
        <f>Assumptions!$B$23*(1+Assumptions!$B$10)^(AP5-1)</f>
        <v>382.45445000000001</v>
      </c>
      <c r="AQ10" s="64">
        <f>Assumptions!$B$23*(1+Assumptions!$B$10)^(AQ5-1)</f>
        <v>382.45445000000001</v>
      </c>
      <c r="AR10" s="64">
        <f>Assumptions!$B$23*(1+Assumptions!$B$10)^(AR5-1)</f>
        <v>382.45445000000001</v>
      </c>
      <c r="AS10" s="64">
        <f>Assumptions!$B$23*(1+Assumptions!$B$10)^(AS5-1)</f>
        <v>382.45445000000001</v>
      </c>
      <c r="AT10" s="64">
        <f>Assumptions!$B$23*(1+Assumptions!$B$10)^(AT5-1)</f>
        <v>382.45445000000001</v>
      </c>
      <c r="AU10" s="64">
        <f>Assumptions!$B$23*(1+Assumptions!$B$10)^(AU5-1)</f>
        <v>382.45445000000001</v>
      </c>
      <c r="AV10" s="64">
        <f>Assumptions!$B$23*(1+Assumptions!$B$10)^(AV5-1)</f>
        <v>382.45445000000001</v>
      </c>
      <c r="AW10" s="64">
        <f>Assumptions!$B$23*(1+Assumptions!$B$10)^(AW5-1)</f>
        <v>382.45445000000001</v>
      </c>
      <c r="AX10" s="64">
        <f>Assumptions!$B$23*(1+Assumptions!$B$10)^(AX5-1)</f>
        <v>382.45445000000001</v>
      </c>
      <c r="AY10" s="64">
        <f>Assumptions!$B$23*(1+Assumptions!$B$10)^(AY5-1)</f>
        <v>382.45445000000001</v>
      </c>
      <c r="AZ10" s="64">
        <f>Assumptions!$B$23*(1+Assumptions!$B$10)^(AZ5-1)</f>
        <v>393.92808349999996</v>
      </c>
      <c r="BA10" s="64">
        <f>Assumptions!$B$23*(1+Assumptions!$B$10)^(BA5-1)</f>
        <v>393.92808349999996</v>
      </c>
      <c r="BB10" s="64">
        <f>Assumptions!$B$23*(1+Assumptions!$B$10)^(BB5-1)</f>
        <v>393.92808349999996</v>
      </c>
      <c r="BC10" s="64">
        <f>Assumptions!$B$23*(1+Assumptions!$B$10)^(BC5-1)</f>
        <v>393.92808349999996</v>
      </c>
      <c r="BD10" s="64">
        <f>Assumptions!$B$23*(1+Assumptions!$B$10)^(BD5-1)</f>
        <v>393.92808349999996</v>
      </c>
      <c r="BE10" s="64">
        <f>Assumptions!$B$23*(1+Assumptions!$B$10)^(BE5-1)</f>
        <v>393.92808349999996</v>
      </c>
      <c r="BF10" s="64">
        <f>Assumptions!$B$23*(1+Assumptions!$B$10)^(BF5-1)</f>
        <v>393.92808349999996</v>
      </c>
      <c r="BG10" s="64">
        <f>Assumptions!$B$23*(1+Assumptions!$B$10)^(BG5-1)</f>
        <v>393.92808349999996</v>
      </c>
      <c r="BH10" s="64">
        <f>Assumptions!$B$23*(1+Assumptions!$B$10)^(BH5-1)</f>
        <v>393.92808349999996</v>
      </c>
      <c r="BI10" s="64">
        <f>Assumptions!$B$23*(1+Assumptions!$B$10)^(BI5-1)</f>
        <v>393.92808349999996</v>
      </c>
      <c r="BJ10" s="64">
        <f>Assumptions!$B$23*(1+Assumptions!$B$10)^(BJ5-1)</f>
        <v>393.92808349999996</v>
      </c>
      <c r="BK10" s="64">
        <f>Assumptions!$B$23*(1+Assumptions!$B$10)^(BK5-1)</f>
        <v>393.92808349999996</v>
      </c>
      <c r="BL10" s="64">
        <f>Assumptions!$B$23*(1+Assumptions!$B$10)^(BL5-1)</f>
        <v>405.74592600499994</v>
      </c>
      <c r="BM10" s="64">
        <f>Assumptions!$B$23*(1+Assumptions!$B$10)^(BM5-1)</f>
        <v>405.74592600499994</v>
      </c>
      <c r="BN10" s="64">
        <f>Assumptions!$B$23*(1+Assumptions!$B$10)^(BN5-1)</f>
        <v>405.74592600499994</v>
      </c>
      <c r="BO10" s="64">
        <f>Assumptions!$B$23*(1+Assumptions!$B$10)^(BO5-1)</f>
        <v>405.74592600499994</v>
      </c>
      <c r="BP10" s="64">
        <f>Assumptions!$B$23*(1+Assumptions!$B$10)^(BP5-1)</f>
        <v>405.74592600499994</v>
      </c>
      <c r="BQ10" s="64">
        <f>Assumptions!$B$23*(1+Assumptions!$B$10)^(BQ5-1)</f>
        <v>405.74592600499994</v>
      </c>
      <c r="BR10" s="64">
        <f>Assumptions!$B$23*(1+Assumptions!$B$10)^(BR5-1)</f>
        <v>405.74592600499994</v>
      </c>
      <c r="BS10" s="64">
        <f>Assumptions!$B$23*(1+Assumptions!$B$10)^(BS5-1)</f>
        <v>405.74592600499994</v>
      </c>
      <c r="BT10" s="64">
        <f>Assumptions!$B$23*(1+Assumptions!$B$10)^(BT5-1)</f>
        <v>405.74592600499994</v>
      </c>
      <c r="BU10" s="64">
        <f>Assumptions!$B$23*(1+Assumptions!$B$10)^(BU5-1)</f>
        <v>405.74592600499994</v>
      </c>
      <c r="BV10" s="64">
        <f>Assumptions!$B$23*(1+Assumptions!$B$10)^(BV5-1)</f>
        <v>405.74592600499994</v>
      </c>
      <c r="BW10" s="64">
        <f>Assumptions!$B$23*(1+Assumptions!$B$10)^(BW5-1)</f>
        <v>405.74592600499994</v>
      </c>
      <c r="BX10" s="64">
        <f>Assumptions!$B$23*(1+Assumptions!$B$10)^(BX5-1)</f>
        <v>417.91830378514999</v>
      </c>
      <c r="BY10" s="64">
        <f>Assumptions!$B$23*(1+Assumptions!$B$10)^(BY5-1)</f>
        <v>417.91830378514999</v>
      </c>
      <c r="BZ10" s="64">
        <f>Assumptions!$B$23*(1+Assumptions!$B$10)^(BZ5-1)</f>
        <v>417.91830378514999</v>
      </c>
      <c r="CA10" s="64">
        <f>Assumptions!$B$23*(1+Assumptions!$B$10)^(CA5-1)</f>
        <v>417.91830378514999</v>
      </c>
      <c r="CB10" s="64">
        <f>Assumptions!$B$23*(1+Assumptions!$B$10)^(CB5-1)</f>
        <v>417.91830378514999</v>
      </c>
      <c r="CC10" s="64">
        <f>Assumptions!$B$23*(1+Assumptions!$B$10)^(CC5-1)</f>
        <v>417.91830378514999</v>
      </c>
      <c r="CD10" s="64">
        <f>Assumptions!$B$23*(1+Assumptions!$B$10)^(CD5-1)</f>
        <v>417.91830378514999</v>
      </c>
      <c r="CE10" s="64">
        <f>Assumptions!$B$23*(1+Assumptions!$B$10)^(CE5-1)</f>
        <v>417.91830378514999</v>
      </c>
      <c r="CF10" s="64">
        <f>Assumptions!$B$23*(1+Assumptions!$B$10)^(CF5-1)</f>
        <v>417.91830378514999</v>
      </c>
      <c r="CG10" s="64">
        <f>Assumptions!$B$23*(1+Assumptions!$B$10)^(CG5-1)</f>
        <v>417.91830378514999</v>
      </c>
      <c r="CH10" s="64">
        <f>Assumptions!$B$23*(1+Assumptions!$B$10)^(CH5-1)</f>
        <v>417.91830378514999</v>
      </c>
      <c r="CI10" s="64">
        <f>Assumptions!$B$23*(1+Assumptions!$B$10)^(CI5-1)</f>
        <v>417.91830378514999</v>
      </c>
      <c r="CJ10" s="64">
        <f>Assumptions!$B$23*(1+Assumptions!$B$10)^(CJ5-1)</f>
        <v>430.45585289870451</v>
      </c>
      <c r="CK10" s="64">
        <f>Assumptions!$B$23*(1+Assumptions!$B$10)^(CK5-1)</f>
        <v>430.45585289870451</v>
      </c>
      <c r="CL10" s="64">
        <f>Assumptions!$B$23*(1+Assumptions!$B$10)^(CL5-1)</f>
        <v>430.45585289870451</v>
      </c>
      <c r="CM10" s="64">
        <f>Assumptions!$B$23*(1+Assumptions!$B$10)^(CM5-1)</f>
        <v>430.45585289870451</v>
      </c>
      <c r="CN10" s="64">
        <f>Assumptions!$B$23*(1+Assumptions!$B$10)^(CN5-1)</f>
        <v>430.45585289870451</v>
      </c>
      <c r="CO10" s="64">
        <f>Assumptions!$B$23*(1+Assumptions!$B$10)^(CO5-1)</f>
        <v>430.45585289870451</v>
      </c>
      <c r="CP10" s="64">
        <f>Assumptions!$B$23*(1+Assumptions!$B$10)^(CP5-1)</f>
        <v>430.45585289870451</v>
      </c>
      <c r="CQ10" s="64">
        <f>Assumptions!$B$23*(1+Assumptions!$B$10)^(CQ5-1)</f>
        <v>430.45585289870451</v>
      </c>
      <c r="CR10" s="64">
        <f>Assumptions!$B$23*(1+Assumptions!$B$10)^(CR5-1)</f>
        <v>430.45585289870451</v>
      </c>
      <c r="CS10" s="64">
        <f>Assumptions!$B$23*(1+Assumptions!$B$10)^(CS5-1)</f>
        <v>430.45585289870451</v>
      </c>
      <c r="CT10" s="64">
        <f>Assumptions!$B$23*(1+Assumptions!$B$10)^(CT5-1)</f>
        <v>430.45585289870451</v>
      </c>
      <c r="CU10" s="64">
        <f>Assumptions!$B$23*(1+Assumptions!$B$10)^(CU5-1)</f>
        <v>430.45585289870451</v>
      </c>
      <c r="CV10" s="64">
        <f>Assumptions!$B$23*(1+Assumptions!$B$10)^(CV5-1)</f>
        <v>443.36952848566557</v>
      </c>
      <c r="CW10" s="64">
        <f>Assumptions!$B$23*(1+Assumptions!$B$10)^(CW5-1)</f>
        <v>443.36952848566557</v>
      </c>
      <c r="CX10" s="64">
        <f>Assumptions!$B$23*(1+Assumptions!$B$10)^(CX5-1)</f>
        <v>443.36952848566557</v>
      </c>
      <c r="CY10" s="64">
        <f>Assumptions!$B$23*(1+Assumptions!$B$10)^(CY5-1)</f>
        <v>443.36952848566557</v>
      </c>
      <c r="CZ10" s="64">
        <f>Assumptions!$B$23*(1+Assumptions!$B$10)^(CZ5-1)</f>
        <v>443.36952848566557</v>
      </c>
      <c r="DA10" s="64">
        <f>Assumptions!$B$23*(1+Assumptions!$B$10)^(DA5-1)</f>
        <v>443.36952848566557</v>
      </c>
      <c r="DB10" s="64">
        <f>Assumptions!$B$23*(1+Assumptions!$B$10)^(DB5-1)</f>
        <v>443.36952848566557</v>
      </c>
      <c r="DC10" s="64">
        <f>Assumptions!$B$23*(1+Assumptions!$B$10)^(DC5-1)</f>
        <v>443.36952848566557</v>
      </c>
      <c r="DD10" s="64">
        <f>Assumptions!$B$23*(1+Assumptions!$B$10)^(DD5-1)</f>
        <v>443.36952848566557</v>
      </c>
      <c r="DE10" s="64">
        <f>Assumptions!$B$23*(1+Assumptions!$B$10)^(DE5-1)</f>
        <v>443.36952848566557</v>
      </c>
      <c r="DF10" s="64">
        <f>Assumptions!$B$23*(1+Assumptions!$B$10)^(DF5-1)</f>
        <v>443.36952848566557</v>
      </c>
      <c r="DG10" s="64">
        <f>Assumptions!$B$23*(1+Assumptions!$B$10)^(DG5-1)</f>
        <v>443.36952848566557</v>
      </c>
      <c r="DH10" s="64">
        <f>Assumptions!$B$23*(1+Assumptions!$B$10)^(DH5-1)</f>
        <v>456.67061434023555</v>
      </c>
      <c r="DI10" s="64">
        <f>Assumptions!$B$23*(1+Assumptions!$B$10)^(DI5-1)</f>
        <v>456.67061434023555</v>
      </c>
      <c r="DJ10" s="64">
        <f>Assumptions!$B$23*(1+Assumptions!$B$10)^(DJ5-1)</f>
        <v>456.67061434023555</v>
      </c>
      <c r="DK10" s="64">
        <f>Assumptions!$B$23*(1+Assumptions!$B$10)^(DK5-1)</f>
        <v>456.67061434023555</v>
      </c>
      <c r="DL10" s="64">
        <f>Assumptions!$B$23*(1+Assumptions!$B$10)^(DL5-1)</f>
        <v>456.67061434023555</v>
      </c>
      <c r="DM10" s="64">
        <f>Assumptions!$B$23*(1+Assumptions!$B$10)^(DM5-1)</f>
        <v>456.67061434023555</v>
      </c>
      <c r="DN10" s="64">
        <f>Assumptions!$B$23*(1+Assumptions!$B$10)^(DN5-1)</f>
        <v>456.67061434023555</v>
      </c>
      <c r="DO10" s="64">
        <f>Assumptions!$B$23*(1+Assumptions!$B$10)^(DO5-1)</f>
        <v>456.67061434023555</v>
      </c>
      <c r="DP10" s="64">
        <f>Assumptions!$B$23*(1+Assumptions!$B$10)^(DP5-1)</f>
        <v>456.67061434023555</v>
      </c>
      <c r="DQ10" s="64">
        <f>Assumptions!$B$23*(1+Assumptions!$B$10)^(DQ5-1)</f>
        <v>456.67061434023555</v>
      </c>
      <c r="DR10" s="64">
        <f>Assumptions!$B$23*(1+Assumptions!$B$10)^(DR5-1)</f>
        <v>456.67061434023555</v>
      </c>
      <c r="DS10" s="64">
        <f>Assumptions!$B$23*(1+Assumptions!$B$10)^(DS5-1)</f>
        <v>456.67061434023555</v>
      </c>
    </row>
    <row r="11" spans="1:123" x14ac:dyDescent="0.25">
      <c r="A11" s="14" t="s">
        <v>264</v>
      </c>
      <c r="D11" s="64">
        <f>Assumptions!$B$16*D10</f>
        <v>28000</v>
      </c>
      <c r="E11" s="64">
        <f>Assumptions!$B$16*E10</f>
        <v>28000</v>
      </c>
      <c r="F11" s="64">
        <f>Assumptions!$B$16*F10</f>
        <v>28000</v>
      </c>
      <c r="G11" s="64">
        <f>Assumptions!$B$16*G10</f>
        <v>28000</v>
      </c>
      <c r="H11" s="64">
        <f>Assumptions!$B$16*H10</f>
        <v>28000</v>
      </c>
      <c r="I11" s="64">
        <f>Assumptions!$B$16*I10</f>
        <v>28000</v>
      </c>
      <c r="J11" s="64">
        <f>Assumptions!$B$16*J10</f>
        <v>28000</v>
      </c>
      <c r="K11" s="64">
        <f>Assumptions!$B$16*K10</f>
        <v>28000</v>
      </c>
      <c r="L11" s="64">
        <f>Assumptions!$B$16*L10</f>
        <v>28000</v>
      </c>
      <c r="M11" s="64">
        <f>Assumptions!$B$16*M10</f>
        <v>28000</v>
      </c>
      <c r="N11" s="64">
        <f>Assumptions!$B$16*N10</f>
        <v>28000</v>
      </c>
      <c r="O11" s="64">
        <f>Assumptions!$B$16*O10</f>
        <v>28000</v>
      </c>
      <c r="P11" s="64">
        <f>Assumptions!$B$16*P10</f>
        <v>28840</v>
      </c>
      <c r="Q11" s="64">
        <f>Assumptions!$B$16*Q10</f>
        <v>28840</v>
      </c>
      <c r="R11" s="64">
        <f>Assumptions!$B$16*R10</f>
        <v>28840</v>
      </c>
      <c r="S11" s="64">
        <f>Assumptions!$B$16*S10</f>
        <v>28840</v>
      </c>
      <c r="T11" s="64">
        <f>Assumptions!$B$16*T10</f>
        <v>28840</v>
      </c>
      <c r="U11" s="64">
        <f>Assumptions!$B$16*U10</f>
        <v>28840</v>
      </c>
      <c r="V11" s="64">
        <f>Assumptions!$B$16*V10</f>
        <v>28840</v>
      </c>
      <c r="W11" s="64">
        <f>Assumptions!$B$16*W10</f>
        <v>28840</v>
      </c>
      <c r="X11" s="64">
        <f>Assumptions!$B$16*X10</f>
        <v>28840</v>
      </c>
      <c r="Y11" s="64">
        <f>Assumptions!$B$16*Y10</f>
        <v>28840</v>
      </c>
      <c r="Z11" s="64">
        <f>Assumptions!$B$16*Z10</f>
        <v>28840</v>
      </c>
      <c r="AA11" s="64">
        <f>Assumptions!$B$16*AA10</f>
        <v>28840</v>
      </c>
      <c r="AB11" s="64">
        <f>Assumptions!$B$16*AB10</f>
        <v>29705.200000000001</v>
      </c>
      <c r="AC11" s="64">
        <f>Assumptions!$B$16*AC10</f>
        <v>29705.200000000001</v>
      </c>
      <c r="AD11" s="64">
        <f>Assumptions!$B$16*AD10</f>
        <v>29705.200000000001</v>
      </c>
      <c r="AE11" s="64">
        <f>Assumptions!$B$16*AE10</f>
        <v>29705.200000000001</v>
      </c>
      <c r="AF11" s="64">
        <f>Assumptions!$B$16*AF10</f>
        <v>29705.200000000001</v>
      </c>
      <c r="AG11" s="64">
        <f>Assumptions!$B$16*AG10</f>
        <v>29705.200000000001</v>
      </c>
      <c r="AH11" s="64">
        <f>Assumptions!$B$16*AH10</f>
        <v>29705.200000000001</v>
      </c>
      <c r="AI11" s="64">
        <f>Assumptions!$B$16*AI10</f>
        <v>29705.200000000001</v>
      </c>
      <c r="AJ11" s="64">
        <f>Assumptions!$B$16*AJ10</f>
        <v>29705.200000000001</v>
      </c>
      <c r="AK11" s="64">
        <f>Assumptions!$B$16*AK10</f>
        <v>29705.200000000001</v>
      </c>
      <c r="AL11" s="64">
        <f>Assumptions!$B$16*AL10</f>
        <v>29705.200000000001</v>
      </c>
      <c r="AM11" s="64">
        <f>Assumptions!$B$16*AM10</f>
        <v>29705.200000000001</v>
      </c>
      <c r="AN11" s="64">
        <f>Assumptions!$B$16*AN10</f>
        <v>30596.356</v>
      </c>
      <c r="AO11" s="64">
        <f>Assumptions!$B$16*AO10</f>
        <v>30596.356</v>
      </c>
      <c r="AP11" s="64">
        <f>Assumptions!$B$16*AP10</f>
        <v>30596.356</v>
      </c>
      <c r="AQ11" s="64">
        <f>Assumptions!$B$16*AQ10</f>
        <v>30596.356</v>
      </c>
      <c r="AR11" s="64">
        <f>Assumptions!$B$16*AR10</f>
        <v>30596.356</v>
      </c>
      <c r="AS11" s="64">
        <f>Assumptions!$B$16*AS10</f>
        <v>30596.356</v>
      </c>
      <c r="AT11" s="64">
        <f>Assumptions!$B$16*AT10</f>
        <v>30596.356</v>
      </c>
      <c r="AU11" s="64">
        <f>Assumptions!$B$16*AU10</f>
        <v>30596.356</v>
      </c>
      <c r="AV11" s="64">
        <f>Assumptions!$B$16*AV10</f>
        <v>30596.356</v>
      </c>
      <c r="AW11" s="64">
        <f>Assumptions!$B$16*AW10</f>
        <v>30596.356</v>
      </c>
      <c r="AX11" s="64">
        <f>Assumptions!$B$16*AX10</f>
        <v>30596.356</v>
      </c>
      <c r="AY11" s="64">
        <f>Assumptions!$B$16*AY10</f>
        <v>30596.356</v>
      </c>
      <c r="AZ11" s="64">
        <f>Assumptions!$B$16*AZ10</f>
        <v>31514.246679999997</v>
      </c>
      <c r="BA11" s="64">
        <f>Assumptions!$B$16*BA10</f>
        <v>31514.246679999997</v>
      </c>
      <c r="BB11" s="64">
        <f>Assumptions!$B$16*BB10</f>
        <v>31514.246679999997</v>
      </c>
      <c r="BC11" s="64">
        <f>Assumptions!$B$16*BC10</f>
        <v>31514.246679999997</v>
      </c>
      <c r="BD11" s="64">
        <f>Assumptions!$B$16*BD10</f>
        <v>31514.246679999997</v>
      </c>
      <c r="BE11" s="64">
        <f>Assumptions!$B$16*BE10</f>
        <v>31514.246679999997</v>
      </c>
      <c r="BF11" s="64">
        <f>Assumptions!$B$16*BF10</f>
        <v>31514.246679999997</v>
      </c>
      <c r="BG11" s="64">
        <f>Assumptions!$B$16*BG10</f>
        <v>31514.246679999997</v>
      </c>
      <c r="BH11" s="64">
        <f>Assumptions!$B$16*BH10</f>
        <v>31514.246679999997</v>
      </c>
      <c r="BI11" s="64">
        <f>Assumptions!$B$16*BI10</f>
        <v>31514.246679999997</v>
      </c>
      <c r="BJ11" s="64">
        <f>Assumptions!$B$16*BJ10</f>
        <v>31514.246679999997</v>
      </c>
      <c r="BK11" s="64">
        <f>Assumptions!$B$16*BK10</f>
        <v>31514.246679999997</v>
      </c>
      <c r="BL11" s="64">
        <f>Assumptions!$B$16*BL10</f>
        <v>32459.674080399996</v>
      </c>
      <c r="BM11" s="64">
        <f>Assumptions!$B$16*BM10</f>
        <v>32459.674080399996</v>
      </c>
      <c r="BN11" s="64">
        <f>Assumptions!$B$16*BN10</f>
        <v>32459.674080399996</v>
      </c>
      <c r="BO11" s="64">
        <f>Assumptions!$B$16*BO10</f>
        <v>32459.674080399996</v>
      </c>
      <c r="BP11" s="64">
        <f>Assumptions!$B$16*BP10</f>
        <v>32459.674080399996</v>
      </c>
      <c r="BQ11" s="64">
        <f>Assumptions!$B$16*BQ10</f>
        <v>32459.674080399996</v>
      </c>
      <c r="BR11" s="64">
        <f>Assumptions!$B$16*BR10</f>
        <v>32459.674080399996</v>
      </c>
      <c r="BS11" s="64">
        <f>Assumptions!$B$16*BS10</f>
        <v>32459.674080399996</v>
      </c>
      <c r="BT11" s="64">
        <f>Assumptions!$B$16*BT10</f>
        <v>32459.674080399996</v>
      </c>
      <c r="BU11" s="64">
        <f>Assumptions!$B$16*BU10</f>
        <v>32459.674080399996</v>
      </c>
      <c r="BV11" s="64">
        <f>Assumptions!$B$16*BV10</f>
        <v>32459.674080399996</v>
      </c>
      <c r="BW11" s="64">
        <f>Assumptions!$B$16*BW10</f>
        <v>32459.674080399996</v>
      </c>
      <c r="BX11" s="64">
        <f>Assumptions!$B$16*BX10</f>
        <v>33433.464302811997</v>
      </c>
      <c r="BY11" s="64">
        <f>Assumptions!$B$16*BY10</f>
        <v>33433.464302811997</v>
      </c>
      <c r="BZ11" s="64">
        <f>Assumptions!$B$16*BZ10</f>
        <v>33433.464302811997</v>
      </c>
      <c r="CA11" s="64">
        <f>Assumptions!$B$16*CA10</f>
        <v>33433.464302811997</v>
      </c>
      <c r="CB11" s="64">
        <f>Assumptions!$B$16*CB10</f>
        <v>33433.464302811997</v>
      </c>
      <c r="CC11" s="64">
        <f>Assumptions!$B$16*CC10</f>
        <v>33433.464302811997</v>
      </c>
      <c r="CD11" s="64">
        <f>Assumptions!$B$16*CD10</f>
        <v>33433.464302811997</v>
      </c>
      <c r="CE11" s="64">
        <f>Assumptions!$B$16*CE10</f>
        <v>33433.464302811997</v>
      </c>
      <c r="CF11" s="64">
        <f>Assumptions!$B$16*CF10</f>
        <v>33433.464302811997</v>
      </c>
      <c r="CG11" s="64">
        <f>Assumptions!$B$16*CG10</f>
        <v>33433.464302811997</v>
      </c>
      <c r="CH11" s="64">
        <f>Assumptions!$B$16*CH10</f>
        <v>33433.464302811997</v>
      </c>
      <c r="CI11" s="64">
        <f>Assumptions!$B$16*CI10</f>
        <v>33433.464302811997</v>
      </c>
      <c r="CJ11" s="64">
        <f>Assumptions!$B$16*CJ10</f>
        <v>34436.468231896361</v>
      </c>
      <c r="CK11" s="64">
        <f>Assumptions!$B$16*CK10</f>
        <v>34436.468231896361</v>
      </c>
      <c r="CL11" s="64">
        <f>Assumptions!$B$16*CL10</f>
        <v>34436.468231896361</v>
      </c>
      <c r="CM11" s="64">
        <f>Assumptions!$B$16*CM10</f>
        <v>34436.468231896361</v>
      </c>
      <c r="CN11" s="64">
        <f>Assumptions!$B$16*CN10</f>
        <v>34436.468231896361</v>
      </c>
      <c r="CO11" s="64">
        <f>Assumptions!$B$16*CO10</f>
        <v>34436.468231896361</v>
      </c>
      <c r="CP11" s="64">
        <f>Assumptions!$B$16*CP10</f>
        <v>34436.468231896361</v>
      </c>
      <c r="CQ11" s="64">
        <f>Assumptions!$B$16*CQ10</f>
        <v>34436.468231896361</v>
      </c>
      <c r="CR11" s="64">
        <f>Assumptions!$B$16*CR10</f>
        <v>34436.468231896361</v>
      </c>
      <c r="CS11" s="64">
        <f>Assumptions!$B$16*CS10</f>
        <v>34436.468231896361</v>
      </c>
      <c r="CT11" s="64">
        <f>Assumptions!$B$16*CT10</f>
        <v>34436.468231896361</v>
      </c>
      <c r="CU11" s="64">
        <f>Assumptions!$B$16*CU10</f>
        <v>34436.468231896361</v>
      </c>
      <c r="CV11" s="64">
        <f>Assumptions!$B$16*CV10</f>
        <v>35469.562278853249</v>
      </c>
      <c r="CW11" s="64">
        <f>Assumptions!$B$16*CW10</f>
        <v>35469.562278853249</v>
      </c>
      <c r="CX11" s="64">
        <f>Assumptions!$B$16*CX10</f>
        <v>35469.562278853249</v>
      </c>
      <c r="CY11" s="64">
        <f>Assumptions!$B$16*CY10</f>
        <v>35469.562278853249</v>
      </c>
      <c r="CZ11" s="64">
        <f>Assumptions!$B$16*CZ10</f>
        <v>35469.562278853249</v>
      </c>
      <c r="DA11" s="64">
        <f>Assumptions!$B$16*DA10</f>
        <v>35469.562278853249</v>
      </c>
      <c r="DB11" s="64">
        <f>Assumptions!$B$16*DB10</f>
        <v>35469.562278853249</v>
      </c>
      <c r="DC11" s="64">
        <f>Assumptions!$B$16*DC10</f>
        <v>35469.562278853249</v>
      </c>
      <c r="DD11" s="64">
        <f>Assumptions!$B$16*DD10</f>
        <v>35469.562278853249</v>
      </c>
      <c r="DE11" s="64">
        <f>Assumptions!$B$16*DE10</f>
        <v>35469.562278853249</v>
      </c>
      <c r="DF11" s="64">
        <f>Assumptions!$B$16*DF10</f>
        <v>35469.562278853249</v>
      </c>
      <c r="DG11" s="64">
        <f>Assumptions!$B$16*DG10</f>
        <v>35469.562278853249</v>
      </c>
      <c r="DH11" s="64">
        <f>Assumptions!$B$16*DH10</f>
        <v>36533.649147218843</v>
      </c>
      <c r="DI11" s="64">
        <f>Assumptions!$B$16*DI10</f>
        <v>36533.649147218843</v>
      </c>
      <c r="DJ11" s="64">
        <f>Assumptions!$B$16*DJ10</f>
        <v>36533.649147218843</v>
      </c>
      <c r="DK11" s="64">
        <f>Assumptions!$B$16*DK10</f>
        <v>36533.649147218843</v>
      </c>
      <c r="DL11" s="64">
        <f>Assumptions!$B$16*DL10</f>
        <v>36533.649147218843</v>
      </c>
      <c r="DM11" s="64">
        <f>Assumptions!$B$16*DM10</f>
        <v>36533.649147218843</v>
      </c>
      <c r="DN11" s="64">
        <f>Assumptions!$B$16*DN10</f>
        <v>36533.649147218843</v>
      </c>
      <c r="DO11" s="64">
        <f>Assumptions!$B$16*DO10</f>
        <v>36533.649147218843</v>
      </c>
      <c r="DP11" s="64">
        <f>Assumptions!$B$16*DP10</f>
        <v>36533.649147218843</v>
      </c>
      <c r="DQ11" s="64">
        <f>Assumptions!$B$16*DQ10</f>
        <v>36533.649147218843</v>
      </c>
      <c r="DR11" s="64">
        <f>Assumptions!$B$16*DR10</f>
        <v>36533.649147218843</v>
      </c>
      <c r="DS11" s="64">
        <f>Assumptions!$B$16*DS10</f>
        <v>36533.649147218843</v>
      </c>
    </row>
    <row r="12" spans="1:123" x14ac:dyDescent="0.25">
      <c r="A12" s="51" t="s">
        <v>265</v>
      </c>
      <c r="D12" s="64">
        <f>-(Assumptions!$B$16-D8)*D10</f>
        <v>-6735.5555555555566</v>
      </c>
      <c r="E12" s="64">
        <f>-(Assumptions!$B$16-E8)*E10</f>
        <v>-6471.1111111111104</v>
      </c>
      <c r="F12" s="64">
        <f>-(Assumptions!$B$16-F8)*F10</f>
        <v>-6206.666666666667</v>
      </c>
      <c r="G12" s="64">
        <f>-(Assumptions!$B$16-G8)*G10</f>
        <v>-5942.2222222222208</v>
      </c>
      <c r="H12" s="64">
        <f>-(Assumptions!$B$16-H8)*H10</f>
        <v>-5677.7777777777774</v>
      </c>
      <c r="I12" s="64">
        <f>-(Assumptions!$B$16-I8)*I10</f>
        <v>-5413.3333333333339</v>
      </c>
      <c r="J12" s="64">
        <f>-(Assumptions!$B$16-J8)*J10</f>
        <v>-5148.8888888888878</v>
      </c>
      <c r="K12" s="64">
        <f>-(Assumptions!$B$16-K8)*K10</f>
        <v>-4884.4444444444416</v>
      </c>
      <c r="L12" s="64">
        <f>-(Assumptions!$B$16-L8)*L10</f>
        <v>-4619.9999999999964</v>
      </c>
      <c r="M12" s="64">
        <f>-(Assumptions!$B$16-M8)*M10</f>
        <v>-4355.5555555555547</v>
      </c>
      <c r="N12" s="64">
        <f>-(Assumptions!$B$16-N8)*N10</f>
        <v>-4091.111111111109</v>
      </c>
      <c r="O12" s="64">
        <f>-(Assumptions!$B$16-O8)*O10</f>
        <v>-3826.6666666666629</v>
      </c>
      <c r="P12" s="64">
        <f>-(Assumptions!$B$16-P8)*P10</f>
        <v>-3669.0888888888885</v>
      </c>
      <c r="Q12" s="64">
        <f>-(Assumptions!$B$16-Q8)*Q10</f>
        <v>-3396.7111111111094</v>
      </c>
      <c r="R12" s="64">
        <f>-(Assumptions!$B$16-R8)*R10</f>
        <v>-3124.3333333333298</v>
      </c>
      <c r="S12" s="64">
        <f>-(Assumptions!$B$16-S8)*S10</f>
        <v>-2851.9555555555507</v>
      </c>
      <c r="T12" s="64">
        <f>-(Assumptions!$B$16-T8)*T10</f>
        <v>-2579.5777777777762</v>
      </c>
      <c r="U12" s="64">
        <f>-(Assumptions!$B$16-U8)*U10</f>
        <v>-2307.1999999999971</v>
      </c>
      <c r="V12" s="64">
        <f>-(Assumptions!$B$16-V8)*V10</f>
        <v>-2307.1999999999971</v>
      </c>
      <c r="W12" s="64">
        <f>-(Assumptions!$B$16-W8)*W10</f>
        <v>-2307.1999999999971</v>
      </c>
      <c r="X12" s="64">
        <f>-(Assumptions!$B$16-X8)*X10</f>
        <v>-2307.1999999999971</v>
      </c>
      <c r="Y12" s="64">
        <f>-(Assumptions!$B$16-Y8)*Y10</f>
        <v>-2307.1999999999971</v>
      </c>
      <c r="Z12" s="64">
        <f>-(Assumptions!$B$16-Z8)*Z10</f>
        <v>-2307.1999999999971</v>
      </c>
      <c r="AA12" s="64">
        <f>-(Assumptions!$B$16-AA8)*AA10</f>
        <v>-2307.1999999999971</v>
      </c>
      <c r="AB12" s="64">
        <f>-(Assumptions!$B$16-AB8)*AB10</f>
        <v>-2376.415999999997</v>
      </c>
      <c r="AC12" s="64">
        <f>-(Assumptions!$B$16-AC8)*AC10</f>
        <v>-2376.415999999997</v>
      </c>
      <c r="AD12" s="64">
        <f>-(Assumptions!$B$16-AD8)*AD10</f>
        <v>-2376.415999999997</v>
      </c>
      <c r="AE12" s="64">
        <f>-(Assumptions!$B$16-AE8)*AE10</f>
        <v>-2376.415999999997</v>
      </c>
      <c r="AF12" s="64">
        <f>-(Assumptions!$B$16-AF8)*AF10</f>
        <v>-2376.415999999997</v>
      </c>
      <c r="AG12" s="64">
        <f>-(Assumptions!$B$16-AG8)*AG10</f>
        <v>-2376.415999999997</v>
      </c>
      <c r="AH12" s="64">
        <f>-(Assumptions!$B$16-AH8)*AH10</f>
        <v>-2376.415999999997</v>
      </c>
      <c r="AI12" s="64">
        <f>-(Assumptions!$B$16-AI8)*AI10</f>
        <v>-2376.415999999997</v>
      </c>
      <c r="AJ12" s="64">
        <f>-(Assumptions!$B$16-AJ8)*AJ10</f>
        <v>-2376.415999999997</v>
      </c>
      <c r="AK12" s="64">
        <f>-(Assumptions!$B$16-AK8)*AK10</f>
        <v>-2376.415999999997</v>
      </c>
      <c r="AL12" s="64">
        <f>-(Assumptions!$B$16-AL8)*AL10</f>
        <v>-2376.415999999997</v>
      </c>
      <c r="AM12" s="64">
        <f>-(Assumptions!$B$16-AM8)*AM10</f>
        <v>-2376.415999999997</v>
      </c>
      <c r="AN12" s="64">
        <f>-(Assumptions!$B$16-AN8)*AN10</f>
        <v>-2447.7084799999966</v>
      </c>
      <c r="AO12" s="64">
        <f>-(Assumptions!$B$16-AO8)*AO10</f>
        <v>-2447.7084799999966</v>
      </c>
      <c r="AP12" s="64">
        <f>-(Assumptions!$B$16-AP8)*AP10</f>
        <v>-2447.7084799999966</v>
      </c>
      <c r="AQ12" s="64">
        <f>-(Assumptions!$B$16-AQ8)*AQ10</f>
        <v>-2447.7084799999966</v>
      </c>
      <c r="AR12" s="64">
        <f>-(Assumptions!$B$16-AR8)*AR10</f>
        <v>-2447.7084799999966</v>
      </c>
      <c r="AS12" s="64">
        <f>-(Assumptions!$B$16-AS8)*AS10</f>
        <v>-2447.7084799999966</v>
      </c>
      <c r="AT12" s="64">
        <f>-(Assumptions!$B$16-AT8)*AT10</f>
        <v>-2447.7084799999966</v>
      </c>
      <c r="AU12" s="64">
        <f>-(Assumptions!$B$16-AU8)*AU10</f>
        <v>-2447.7084799999966</v>
      </c>
      <c r="AV12" s="64">
        <f>-(Assumptions!$B$16-AV8)*AV10</f>
        <v>-2447.7084799999966</v>
      </c>
      <c r="AW12" s="64">
        <f>-(Assumptions!$B$16-AW8)*AW10</f>
        <v>-2447.7084799999966</v>
      </c>
      <c r="AX12" s="64">
        <f>-(Assumptions!$B$16-AX8)*AX10</f>
        <v>-2447.7084799999966</v>
      </c>
      <c r="AY12" s="64">
        <f>-(Assumptions!$B$16-AY8)*AY10</f>
        <v>-2447.7084799999966</v>
      </c>
      <c r="AZ12" s="64">
        <f>-(Assumptions!$B$16-AZ8)*AZ10</f>
        <v>-2521.1397343999965</v>
      </c>
      <c r="BA12" s="64">
        <f>-(Assumptions!$B$16-BA8)*BA10</f>
        <v>-2521.1397343999965</v>
      </c>
      <c r="BB12" s="64">
        <f>-(Assumptions!$B$16-BB8)*BB10</f>
        <v>-2521.1397343999965</v>
      </c>
      <c r="BC12" s="64">
        <f>-(Assumptions!$B$16-BC8)*BC10</f>
        <v>-2521.1397343999965</v>
      </c>
      <c r="BD12" s="64">
        <f>-(Assumptions!$B$16-BD8)*BD10</f>
        <v>-2521.1397343999965</v>
      </c>
      <c r="BE12" s="64">
        <f>-(Assumptions!$B$16-BE8)*BE10</f>
        <v>-2521.1397343999965</v>
      </c>
      <c r="BF12" s="64">
        <f>-(Assumptions!$B$16-BF8)*BF10</f>
        <v>-2521.1397343999965</v>
      </c>
      <c r="BG12" s="64">
        <f>-(Assumptions!$B$16-BG8)*BG10</f>
        <v>-2521.1397343999965</v>
      </c>
      <c r="BH12" s="64">
        <f>-(Assumptions!$B$16-BH8)*BH10</f>
        <v>-2521.1397343999965</v>
      </c>
      <c r="BI12" s="64">
        <f>-(Assumptions!$B$16-BI8)*BI10</f>
        <v>-2521.1397343999965</v>
      </c>
      <c r="BJ12" s="64">
        <f>-(Assumptions!$B$16-BJ8)*BJ10</f>
        <v>-2521.1397343999965</v>
      </c>
      <c r="BK12" s="64">
        <f>-(Assumptions!$B$16-BK8)*BK10</f>
        <v>-2521.1397343999965</v>
      </c>
      <c r="BL12" s="64">
        <f>-(Assumptions!$B$16-BL8)*BL10</f>
        <v>-2596.7739264319962</v>
      </c>
      <c r="BM12" s="64">
        <f>-(Assumptions!$B$16-BM8)*BM10</f>
        <v>-2596.7739264319962</v>
      </c>
      <c r="BN12" s="64">
        <f>-(Assumptions!$B$16-BN8)*BN10</f>
        <v>-2596.7739264319962</v>
      </c>
      <c r="BO12" s="64">
        <f>-(Assumptions!$B$16-BO8)*BO10</f>
        <v>-2596.7739264319962</v>
      </c>
      <c r="BP12" s="64">
        <f>-(Assumptions!$B$16-BP8)*BP10</f>
        <v>-2596.7739264319962</v>
      </c>
      <c r="BQ12" s="64">
        <f>-(Assumptions!$B$16-BQ8)*BQ10</f>
        <v>-2596.7739264319962</v>
      </c>
      <c r="BR12" s="64">
        <f>-(Assumptions!$B$16-BR8)*BR10</f>
        <v>-2596.7739264319962</v>
      </c>
      <c r="BS12" s="64">
        <f>-(Assumptions!$B$16-BS8)*BS10</f>
        <v>-2596.7739264319962</v>
      </c>
      <c r="BT12" s="64">
        <f>-(Assumptions!$B$16-BT8)*BT10</f>
        <v>-2596.7739264319962</v>
      </c>
      <c r="BU12" s="64">
        <f>-(Assumptions!$B$16-BU8)*BU10</f>
        <v>-2596.7739264319962</v>
      </c>
      <c r="BV12" s="64">
        <f>-(Assumptions!$B$16-BV8)*BV10</f>
        <v>-2596.7739264319962</v>
      </c>
      <c r="BW12" s="64">
        <f>-(Assumptions!$B$16-BW8)*BW10</f>
        <v>-2596.7739264319962</v>
      </c>
      <c r="BX12" s="64">
        <f>-(Assumptions!$B$16-BX8)*BX10</f>
        <v>-2674.6771442249565</v>
      </c>
      <c r="BY12" s="64">
        <f>-(Assumptions!$B$16-BY8)*BY10</f>
        <v>-2674.6771442249565</v>
      </c>
      <c r="BZ12" s="64">
        <f>-(Assumptions!$B$16-BZ8)*BZ10</f>
        <v>-2674.6771442249565</v>
      </c>
      <c r="CA12" s="64">
        <f>-(Assumptions!$B$16-CA8)*CA10</f>
        <v>-2674.6771442249565</v>
      </c>
      <c r="CB12" s="64">
        <f>-(Assumptions!$B$16-CB8)*CB10</f>
        <v>-2674.6771442249565</v>
      </c>
      <c r="CC12" s="64">
        <f>-(Assumptions!$B$16-CC8)*CC10</f>
        <v>-2674.6771442249565</v>
      </c>
      <c r="CD12" s="64">
        <f>-(Assumptions!$B$16-CD8)*CD10</f>
        <v>-2674.6771442249565</v>
      </c>
      <c r="CE12" s="64">
        <f>-(Assumptions!$B$16-CE8)*CE10</f>
        <v>-2674.6771442249565</v>
      </c>
      <c r="CF12" s="64">
        <f>-(Assumptions!$B$16-CF8)*CF10</f>
        <v>-2674.6771442249565</v>
      </c>
      <c r="CG12" s="64">
        <f>-(Assumptions!$B$16-CG8)*CG10</f>
        <v>-2674.6771442249565</v>
      </c>
      <c r="CH12" s="64">
        <f>-(Assumptions!$B$16-CH8)*CH10</f>
        <v>-2674.6771442249565</v>
      </c>
      <c r="CI12" s="64">
        <f>-(Assumptions!$B$16-CI8)*CI10</f>
        <v>-2674.6771442249565</v>
      </c>
      <c r="CJ12" s="64">
        <f>-(Assumptions!$B$16-CJ8)*CJ10</f>
        <v>-2754.9174585517053</v>
      </c>
      <c r="CK12" s="64">
        <f>-(Assumptions!$B$16-CK8)*CK10</f>
        <v>-2754.9174585517053</v>
      </c>
      <c r="CL12" s="64">
        <f>-(Assumptions!$B$16-CL8)*CL10</f>
        <v>-2754.9174585517053</v>
      </c>
      <c r="CM12" s="64">
        <f>-(Assumptions!$B$16-CM8)*CM10</f>
        <v>-2754.9174585517053</v>
      </c>
      <c r="CN12" s="64">
        <f>-(Assumptions!$B$16-CN8)*CN10</f>
        <v>-2754.9174585517053</v>
      </c>
      <c r="CO12" s="64">
        <f>-(Assumptions!$B$16-CO8)*CO10</f>
        <v>-2754.9174585517053</v>
      </c>
      <c r="CP12" s="64">
        <f>-(Assumptions!$B$16-CP8)*CP10</f>
        <v>-2754.9174585517053</v>
      </c>
      <c r="CQ12" s="64">
        <f>-(Assumptions!$B$16-CQ8)*CQ10</f>
        <v>-2754.9174585517053</v>
      </c>
      <c r="CR12" s="64">
        <f>-(Assumptions!$B$16-CR8)*CR10</f>
        <v>-2754.9174585517053</v>
      </c>
      <c r="CS12" s="64">
        <f>-(Assumptions!$B$16-CS8)*CS10</f>
        <v>-2754.9174585517053</v>
      </c>
      <c r="CT12" s="64">
        <f>-(Assumptions!$B$16-CT8)*CT10</f>
        <v>-2754.9174585517053</v>
      </c>
      <c r="CU12" s="64">
        <f>-(Assumptions!$B$16-CU8)*CU10</f>
        <v>-2754.9174585517053</v>
      </c>
      <c r="CV12" s="64">
        <f>-(Assumptions!$B$16-CV8)*CV10</f>
        <v>-2837.5649823082558</v>
      </c>
      <c r="CW12" s="64">
        <f>-(Assumptions!$B$16-CW8)*CW10</f>
        <v>-2837.5649823082558</v>
      </c>
      <c r="CX12" s="64">
        <f>-(Assumptions!$B$16-CX8)*CX10</f>
        <v>-2837.5649823082558</v>
      </c>
      <c r="CY12" s="64">
        <f>-(Assumptions!$B$16-CY8)*CY10</f>
        <v>-2837.5649823082558</v>
      </c>
      <c r="CZ12" s="64">
        <f>-(Assumptions!$B$16-CZ8)*CZ10</f>
        <v>-2837.5649823082558</v>
      </c>
      <c r="DA12" s="64">
        <f>-(Assumptions!$B$16-DA8)*DA10</f>
        <v>-2837.5649823082558</v>
      </c>
      <c r="DB12" s="64">
        <f>-(Assumptions!$B$16-DB8)*DB10</f>
        <v>-2837.5649823082558</v>
      </c>
      <c r="DC12" s="64">
        <f>-(Assumptions!$B$16-DC8)*DC10</f>
        <v>-2837.5649823082558</v>
      </c>
      <c r="DD12" s="64">
        <f>-(Assumptions!$B$16-DD8)*DD10</f>
        <v>-2837.5649823082558</v>
      </c>
      <c r="DE12" s="64">
        <f>-(Assumptions!$B$16-DE8)*DE10</f>
        <v>-2837.5649823082558</v>
      </c>
      <c r="DF12" s="64">
        <f>-(Assumptions!$B$16-DF8)*DF10</f>
        <v>-2837.5649823082558</v>
      </c>
      <c r="DG12" s="64">
        <f>-(Assumptions!$B$16-DG8)*DG10</f>
        <v>-2837.5649823082558</v>
      </c>
      <c r="DH12" s="64">
        <f>-(Assumptions!$B$16-DH8)*DH10</f>
        <v>-2922.6919317775037</v>
      </c>
      <c r="DI12" s="64">
        <f>-(Assumptions!$B$16-DI8)*DI10</f>
        <v>-2922.6919317775037</v>
      </c>
      <c r="DJ12" s="64">
        <f>-(Assumptions!$B$16-DJ8)*DJ10</f>
        <v>-2922.6919317775037</v>
      </c>
      <c r="DK12" s="64">
        <f>-(Assumptions!$B$16-DK8)*DK10</f>
        <v>-2922.6919317775037</v>
      </c>
      <c r="DL12" s="64">
        <f>-(Assumptions!$B$16-DL8)*DL10</f>
        <v>-2922.6919317775037</v>
      </c>
      <c r="DM12" s="64">
        <f>-(Assumptions!$B$16-DM8)*DM10</f>
        <v>-2922.6919317775037</v>
      </c>
      <c r="DN12" s="64">
        <f>-(Assumptions!$B$16-DN8)*DN10</f>
        <v>-2922.6919317775037</v>
      </c>
      <c r="DO12" s="64">
        <f>-(Assumptions!$B$16-DO8)*DO10</f>
        <v>-2922.6919317775037</v>
      </c>
      <c r="DP12" s="64">
        <f>-(Assumptions!$B$16-DP8)*DP10</f>
        <v>-2922.6919317775037</v>
      </c>
      <c r="DQ12" s="64">
        <f>-(Assumptions!$B$16-DQ8)*DQ10</f>
        <v>-2922.6919317775037</v>
      </c>
      <c r="DR12" s="64">
        <f>-(Assumptions!$B$16-DR8)*DR10</f>
        <v>-2922.6919317775037</v>
      </c>
      <c r="DS12" s="64">
        <f>-(Assumptions!$B$16-DS8)*DS10</f>
        <v>-2922.6919317775037</v>
      </c>
    </row>
    <row r="13" spans="1:123" x14ac:dyDescent="0.25">
      <c r="A13" s="51" t="s">
        <v>266</v>
      </c>
      <c r="D13" s="64">
        <f>-Assumptions!$B$28*(D11+D12)</f>
        <v>-212.64444444444445</v>
      </c>
      <c r="E13" s="64">
        <f>-Assumptions!$B$28*(E11+E12)</f>
        <v>-215.28888888888892</v>
      </c>
      <c r="F13" s="64">
        <f>-Assumptions!$B$28*(F11+F12)</f>
        <v>-217.93333333333334</v>
      </c>
      <c r="G13" s="64">
        <f>-Assumptions!$B$28*(G11+G12)</f>
        <v>-220.57777777777781</v>
      </c>
      <c r="H13" s="64">
        <f>-Assumptions!$B$28*(H11+H12)</f>
        <v>-223.22222222222223</v>
      </c>
      <c r="I13" s="64">
        <f>-Assumptions!$B$28*(I11+I12)</f>
        <v>-225.86666666666665</v>
      </c>
      <c r="J13" s="64">
        <f>-Assumptions!$B$28*(J11+J12)</f>
        <v>-228.51111111111115</v>
      </c>
      <c r="K13" s="64">
        <f>-Assumptions!$B$28*(K11+K12)</f>
        <v>-231.15555555555559</v>
      </c>
      <c r="L13" s="64">
        <f>-Assumptions!$B$28*(L11+L12)</f>
        <v>-233.80000000000004</v>
      </c>
      <c r="M13" s="64">
        <f>-Assumptions!$B$28*(M11+M12)</f>
        <v>-236.44444444444446</v>
      </c>
      <c r="N13" s="64">
        <f>-Assumptions!$B$28*(N11+N12)</f>
        <v>-239.0888888888889</v>
      </c>
      <c r="O13" s="64">
        <f>-Assumptions!$B$28*(O11+O12)</f>
        <v>-241.73333333333335</v>
      </c>
      <c r="P13" s="64">
        <f>-Assumptions!$B$28*(P11+P12)</f>
        <v>-251.70911111111113</v>
      </c>
      <c r="Q13" s="64">
        <f>-Assumptions!$B$28*(Q11+Q12)</f>
        <v>-254.43288888888893</v>
      </c>
      <c r="R13" s="64">
        <f>-Assumptions!$B$28*(R11+R12)</f>
        <v>-257.15666666666669</v>
      </c>
      <c r="S13" s="64">
        <f>-Assumptions!$B$28*(S11+S12)</f>
        <v>-259.88044444444449</v>
      </c>
      <c r="T13" s="64">
        <f>-Assumptions!$B$28*(T11+T12)</f>
        <v>-262.60422222222223</v>
      </c>
      <c r="U13" s="64">
        <f>-Assumptions!$B$28*(U11+U12)</f>
        <v>-265.32800000000003</v>
      </c>
      <c r="V13" s="64">
        <f>-Assumptions!$B$28*(V11+V12)</f>
        <v>-265.32800000000003</v>
      </c>
      <c r="W13" s="64">
        <f>-Assumptions!$B$28*(W11+W12)</f>
        <v>-265.32800000000003</v>
      </c>
      <c r="X13" s="64">
        <f>-Assumptions!$B$28*(X11+X12)</f>
        <v>-265.32800000000003</v>
      </c>
      <c r="Y13" s="64">
        <f>-Assumptions!$B$28*(Y11+Y12)</f>
        <v>-265.32800000000003</v>
      </c>
      <c r="Z13" s="64">
        <f>-Assumptions!$B$28*(Z11+Z12)</f>
        <v>-265.32800000000003</v>
      </c>
      <c r="AA13" s="64">
        <f>-Assumptions!$B$28*(AA11+AA12)</f>
        <v>-265.32800000000003</v>
      </c>
      <c r="AB13" s="64">
        <f>-Assumptions!$B$28*(AB11+AB12)</f>
        <v>-273.28784000000002</v>
      </c>
      <c r="AC13" s="64">
        <f>-Assumptions!$B$28*(AC11+AC12)</f>
        <v>-273.28784000000002</v>
      </c>
      <c r="AD13" s="64">
        <f>-Assumptions!$B$28*(AD11+AD12)</f>
        <v>-273.28784000000002</v>
      </c>
      <c r="AE13" s="64">
        <f>-Assumptions!$B$28*(AE11+AE12)</f>
        <v>-273.28784000000002</v>
      </c>
      <c r="AF13" s="64">
        <f>-Assumptions!$B$28*(AF11+AF12)</f>
        <v>-273.28784000000002</v>
      </c>
      <c r="AG13" s="64">
        <f>-Assumptions!$B$28*(AG11+AG12)</f>
        <v>-273.28784000000002</v>
      </c>
      <c r="AH13" s="64">
        <f>-Assumptions!$B$28*(AH11+AH12)</f>
        <v>-273.28784000000002</v>
      </c>
      <c r="AI13" s="64">
        <f>-Assumptions!$B$28*(AI11+AI12)</f>
        <v>-273.28784000000002</v>
      </c>
      <c r="AJ13" s="64">
        <f>-Assumptions!$B$28*(AJ11+AJ12)</f>
        <v>-273.28784000000002</v>
      </c>
      <c r="AK13" s="64">
        <f>-Assumptions!$B$28*(AK11+AK12)</f>
        <v>-273.28784000000002</v>
      </c>
      <c r="AL13" s="64">
        <f>-Assumptions!$B$28*(AL11+AL12)</f>
        <v>-273.28784000000002</v>
      </c>
      <c r="AM13" s="64">
        <f>-Assumptions!$B$28*(AM11+AM12)</f>
        <v>-273.28784000000002</v>
      </c>
      <c r="AN13" s="64">
        <f>-Assumptions!$B$28*(AN11+AN12)</f>
        <v>-281.48647520000003</v>
      </c>
      <c r="AO13" s="64">
        <f>-Assumptions!$B$28*(AO11+AO12)</f>
        <v>-281.48647520000003</v>
      </c>
      <c r="AP13" s="64">
        <f>-Assumptions!$B$28*(AP11+AP12)</f>
        <v>-281.48647520000003</v>
      </c>
      <c r="AQ13" s="64">
        <f>-Assumptions!$B$28*(AQ11+AQ12)</f>
        <v>-281.48647520000003</v>
      </c>
      <c r="AR13" s="64">
        <f>-Assumptions!$B$28*(AR11+AR12)</f>
        <v>-281.48647520000003</v>
      </c>
      <c r="AS13" s="64">
        <f>-Assumptions!$B$28*(AS11+AS12)</f>
        <v>-281.48647520000003</v>
      </c>
      <c r="AT13" s="64">
        <f>-Assumptions!$B$28*(AT11+AT12)</f>
        <v>-281.48647520000003</v>
      </c>
      <c r="AU13" s="64">
        <f>-Assumptions!$B$28*(AU11+AU12)</f>
        <v>-281.48647520000003</v>
      </c>
      <c r="AV13" s="64">
        <f>-Assumptions!$B$28*(AV11+AV12)</f>
        <v>-281.48647520000003</v>
      </c>
      <c r="AW13" s="64">
        <f>-Assumptions!$B$28*(AW11+AW12)</f>
        <v>-281.48647520000003</v>
      </c>
      <c r="AX13" s="64">
        <f>-Assumptions!$B$28*(AX11+AX12)</f>
        <v>-281.48647520000003</v>
      </c>
      <c r="AY13" s="64">
        <f>-Assumptions!$B$28*(AY11+AY12)</f>
        <v>-281.48647520000003</v>
      </c>
      <c r="AZ13" s="64">
        <f>-Assumptions!$B$28*(AZ11+AZ12)</f>
        <v>-289.93106945599999</v>
      </c>
      <c r="BA13" s="64">
        <f>-Assumptions!$B$28*(BA11+BA12)</f>
        <v>-289.93106945599999</v>
      </c>
      <c r="BB13" s="64">
        <f>-Assumptions!$B$28*(BB11+BB12)</f>
        <v>-289.93106945599999</v>
      </c>
      <c r="BC13" s="64">
        <f>-Assumptions!$B$28*(BC11+BC12)</f>
        <v>-289.93106945599999</v>
      </c>
      <c r="BD13" s="64">
        <f>-Assumptions!$B$28*(BD11+BD12)</f>
        <v>-289.93106945599999</v>
      </c>
      <c r="BE13" s="64">
        <f>-Assumptions!$B$28*(BE11+BE12)</f>
        <v>-289.93106945599999</v>
      </c>
      <c r="BF13" s="64">
        <f>-Assumptions!$B$28*(BF11+BF12)</f>
        <v>-289.93106945599999</v>
      </c>
      <c r="BG13" s="64">
        <f>-Assumptions!$B$28*(BG11+BG12)</f>
        <v>-289.93106945599999</v>
      </c>
      <c r="BH13" s="64">
        <f>-Assumptions!$B$28*(BH11+BH12)</f>
        <v>-289.93106945599999</v>
      </c>
      <c r="BI13" s="64">
        <f>-Assumptions!$B$28*(BI11+BI12)</f>
        <v>-289.93106945599999</v>
      </c>
      <c r="BJ13" s="64">
        <f>-Assumptions!$B$28*(BJ11+BJ12)</f>
        <v>-289.93106945599999</v>
      </c>
      <c r="BK13" s="64">
        <f>-Assumptions!$B$28*(BK11+BK12)</f>
        <v>-289.93106945599999</v>
      </c>
      <c r="BL13" s="64">
        <f>-Assumptions!$B$28*(BL11+BL12)</f>
        <v>-298.62900153968002</v>
      </c>
      <c r="BM13" s="64">
        <f>-Assumptions!$B$28*(BM11+BM12)</f>
        <v>-298.62900153968002</v>
      </c>
      <c r="BN13" s="64">
        <f>-Assumptions!$B$28*(BN11+BN12)</f>
        <v>-298.62900153968002</v>
      </c>
      <c r="BO13" s="64">
        <f>-Assumptions!$B$28*(BO11+BO12)</f>
        <v>-298.62900153968002</v>
      </c>
      <c r="BP13" s="64">
        <f>-Assumptions!$B$28*(BP11+BP12)</f>
        <v>-298.62900153968002</v>
      </c>
      <c r="BQ13" s="64">
        <f>-Assumptions!$B$28*(BQ11+BQ12)</f>
        <v>-298.62900153968002</v>
      </c>
      <c r="BR13" s="64">
        <f>-Assumptions!$B$28*(BR11+BR12)</f>
        <v>-298.62900153968002</v>
      </c>
      <c r="BS13" s="64">
        <f>-Assumptions!$B$28*(BS11+BS12)</f>
        <v>-298.62900153968002</v>
      </c>
      <c r="BT13" s="64">
        <f>-Assumptions!$B$28*(BT11+BT12)</f>
        <v>-298.62900153968002</v>
      </c>
      <c r="BU13" s="64">
        <f>-Assumptions!$B$28*(BU11+BU12)</f>
        <v>-298.62900153968002</v>
      </c>
      <c r="BV13" s="64">
        <f>-Assumptions!$B$28*(BV11+BV12)</f>
        <v>-298.62900153968002</v>
      </c>
      <c r="BW13" s="64">
        <f>-Assumptions!$B$28*(BW11+BW12)</f>
        <v>-298.62900153968002</v>
      </c>
      <c r="BX13" s="64">
        <f>-Assumptions!$B$28*(BX11+BX12)</f>
        <v>-307.5878715858704</v>
      </c>
      <c r="BY13" s="64">
        <f>-Assumptions!$B$28*(BY11+BY12)</f>
        <v>-307.5878715858704</v>
      </c>
      <c r="BZ13" s="64">
        <f>-Assumptions!$B$28*(BZ11+BZ12)</f>
        <v>-307.5878715858704</v>
      </c>
      <c r="CA13" s="64">
        <f>-Assumptions!$B$28*(CA11+CA12)</f>
        <v>-307.5878715858704</v>
      </c>
      <c r="CB13" s="64">
        <f>-Assumptions!$B$28*(CB11+CB12)</f>
        <v>-307.5878715858704</v>
      </c>
      <c r="CC13" s="64">
        <f>-Assumptions!$B$28*(CC11+CC12)</f>
        <v>-307.5878715858704</v>
      </c>
      <c r="CD13" s="64">
        <f>-Assumptions!$B$28*(CD11+CD12)</f>
        <v>-307.5878715858704</v>
      </c>
      <c r="CE13" s="64">
        <f>-Assumptions!$B$28*(CE11+CE12)</f>
        <v>-307.5878715858704</v>
      </c>
      <c r="CF13" s="64">
        <f>-Assumptions!$B$28*(CF11+CF12)</f>
        <v>-307.5878715858704</v>
      </c>
      <c r="CG13" s="64">
        <f>-Assumptions!$B$28*(CG11+CG12)</f>
        <v>-307.5878715858704</v>
      </c>
      <c r="CH13" s="64">
        <f>-Assumptions!$B$28*(CH11+CH12)</f>
        <v>-307.5878715858704</v>
      </c>
      <c r="CI13" s="64">
        <f>-Assumptions!$B$28*(CI11+CI12)</f>
        <v>-307.5878715858704</v>
      </c>
      <c r="CJ13" s="64">
        <f>-Assumptions!$B$28*(CJ11+CJ12)</f>
        <v>-316.81550773344657</v>
      </c>
      <c r="CK13" s="64">
        <f>-Assumptions!$B$28*(CK11+CK12)</f>
        <v>-316.81550773344657</v>
      </c>
      <c r="CL13" s="64">
        <f>-Assumptions!$B$28*(CL11+CL12)</f>
        <v>-316.81550773344657</v>
      </c>
      <c r="CM13" s="64">
        <f>-Assumptions!$B$28*(CM11+CM12)</f>
        <v>-316.81550773344657</v>
      </c>
      <c r="CN13" s="64">
        <f>-Assumptions!$B$28*(CN11+CN12)</f>
        <v>-316.81550773344657</v>
      </c>
      <c r="CO13" s="64">
        <f>-Assumptions!$B$28*(CO11+CO12)</f>
        <v>-316.81550773344657</v>
      </c>
      <c r="CP13" s="64">
        <f>-Assumptions!$B$28*(CP11+CP12)</f>
        <v>-316.81550773344657</v>
      </c>
      <c r="CQ13" s="64">
        <f>-Assumptions!$B$28*(CQ11+CQ12)</f>
        <v>-316.81550773344657</v>
      </c>
      <c r="CR13" s="64">
        <f>-Assumptions!$B$28*(CR11+CR12)</f>
        <v>-316.81550773344657</v>
      </c>
      <c r="CS13" s="64">
        <f>-Assumptions!$B$28*(CS11+CS12)</f>
        <v>-316.81550773344657</v>
      </c>
      <c r="CT13" s="64">
        <f>-Assumptions!$B$28*(CT11+CT12)</f>
        <v>-316.81550773344657</v>
      </c>
      <c r="CU13" s="64">
        <f>-Assumptions!$B$28*(CU11+CU12)</f>
        <v>-316.81550773344657</v>
      </c>
      <c r="CV13" s="64">
        <f>-Assumptions!$B$28*(CV11+CV12)</f>
        <v>-326.31997296544995</v>
      </c>
      <c r="CW13" s="64">
        <f>-Assumptions!$B$28*(CW11+CW12)</f>
        <v>-326.31997296544995</v>
      </c>
      <c r="CX13" s="64">
        <f>-Assumptions!$B$28*(CX11+CX12)</f>
        <v>-326.31997296544995</v>
      </c>
      <c r="CY13" s="64">
        <f>-Assumptions!$B$28*(CY11+CY12)</f>
        <v>-326.31997296544995</v>
      </c>
      <c r="CZ13" s="64">
        <f>-Assumptions!$B$28*(CZ11+CZ12)</f>
        <v>-326.31997296544995</v>
      </c>
      <c r="DA13" s="64">
        <f>-Assumptions!$B$28*(DA11+DA12)</f>
        <v>-326.31997296544995</v>
      </c>
      <c r="DB13" s="64">
        <f>-Assumptions!$B$28*(DB11+DB12)</f>
        <v>-326.31997296544995</v>
      </c>
      <c r="DC13" s="64">
        <f>-Assumptions!$B$28*(DC11+DC12)</f>
        <v>-326.31997296544995</v>
      </c>
      <c r="DD13" s="64">
        <f>-Assumptions!$B$28*(DD11+DD12)</f>
        <v>-326.31997296544995</v>
      </c>
      <c r="DE13" s="64">
        <f>-Assumptions!$B$28*(DE11+DE12)</f>
        <v>-326.31997296544995</v>
      </c>
      <c r="DF13" s="64">
        <f>-Assumptions!$B$28*(DF11+DF12)</f>
        <v>-326.31997296544995</v>
      </c>
      <c r="DG13" s="64">
        <f>-Assumptions!$B$28*(DG11+DG12)</f>
        <v>-326.31997296544995</v>
      </c>
      <c r="DH13" s="64">
        <f>-Assumptions!$B$28*(DH11+DH12)</f>
        <v>-336.1095721544134</v>
      </c>
      <c r="DI13" s="64">
        <f>-Assumptions!$B$28*(DI11+DI12)</f>
        <v>-336.1095721544134</v>
      </c>
      <c r="DJ13" s="64">
        <f>-Assumptions!$B$28*(DJ11+DJ12)</f>
        <v>-336.1095721544134</v>
      </c>
      <c r="DK13" s="64">
        <f>-Assumptions!$B$28*(DK11+DK12)</f>
        <v>-336.1095721544134</v>
      </c>
      <c r="DL13" s="64">
        <f>-Assumptions!$B$28*(DL11+DL12)</f>
        <v>-336.1095721544134</v>
      </c>
      <c r="DM13" s="64">
        <f>-Assumptions!$B$28*(DM11+DM12)</f>
        <v>-336.1095721544134</v>
      </c>
      <c r="DN13" s="64">
        <f>-Assumptions!$B$28*(DN11+DN12)</f>
        <v>-336.1095721544134</v>
      </c>
      <c r="DO13" s="64">
        <f>-Assumptions!$B$28*(DO11+DO12)</f>
        <v>-336.1095721544134</v>
      </c>
      <c r="DP13" s="64">
        <f>-Assumptions!$B$28*(DP11+DP12)</f>
        <v>-336.1095721544134</v>
      </c>
      <c r="DQ13" s="64">
        <f>-Assumptions!$B$28*(DQ11+DQ12)</f>
        <v>-336.1095721544134</v>
      </c>
      <c r="DR13" s="64">
        <f>-Assumptions!$B$28*(DR11+DR12)</f>
        <v>-336.1095721544134</v>
      </c>
      <c r="DS13" s="64">
        <f>-Assumptions!$B$28*(DS11+DS12)</f>
        <v>-336.1095721544134</v>
      </c>
    </row>
    <row r="14" spans="1:123" x14ac:dyDescent="0.25">
      <c r="A14" s="1" t="s">
        <v>297</v>
      </c>
      <c r="D14" s="64">
        <f t="shared" ref="D14:AI14" si="4">D11+D12+D13</f>
        <v>21051.8</v>
      </c>
      <c r="E14" s="64">
        <f t="shared" si="4"/>
        <v>21313.600000000002</v>
      </c>
      <c r="F14" s="64">
        <f t="shared" si="4"/>
        <v>21575.399999999998</v>
      </c>
      <c r="G14" s="64">
        <f t="shared" si="4"/>
        <v>21837.200000000004</v>
      </c>
      <c r="H14" s="64">
        <f t="shared" si="4"/>
        <v>22099</v>
      </c>
      <c r="I14" s="64">
        <f t="shared" si="4"/>
        <v>22360.799999999999</v>
      </c>
      <c r="J14" s="64">
        <f t="shared" si="4"/>
        <v>22622.600000000002</v>
      </c>
      <c r="K14" s="64">
        <f t="shared" si="4"/>
        <v>22884.400000000001</v>
      </c>
      <c r="L14" s="64">
        <f t="shared" si="4"/>
        <v>23146.200000000004</v>
      </c>
      <c r="M14" s="64">
        <f t="shared" si="4"/>
        <v>23408</v>
      </c>
      <c r="N14" s="64">
        <f t="shared" si="4"/>
        <v>23669.800000000003</v>
      </c>
      <c r="O14" s="64">
        <f t="shared" si="4"/>
        <v>23931.600000000002</v>
      </c>
      <c r="P14" s="64">
        <f t="shared" si="4"/>
        <v>24919.202000000001</v>
      </c>
      <c r="Q14" s="64">
        <f t="shared" si="4"/>
        <v>25188.856000000003</v>
      </c>
      <c r="R14" s="64">
        <f t="shared" si="4"/>
        <v>25458.510000000006</v>
      </c>
      <c r="S14" s="64">
        <f t="shared" si="4"/>
        <v>25728.164000000008</v>
      </c>
      <c r="T14" s="64">
        <f t="shared" si="4"/>
        <v>25997.817999999999</v>
      </c>
      <c r="U14" s="64">
        <f t="shared" si="4"/>
        <v>26267.472000000002</v>
      </c>
      <c r="V14" s="64">
        <f t="shared" si="4"/>
        <v>26267.472000000002</v>
      </c>
      <c r="W14" s="64">
        <f t="shared" si="4"/>
        <v>26267.472000000002</v>
      </c>
      <c r="X14" s="64">
        <f t="shared" si="4"/>
        <v>26267.472000000002</v>
      </c>
      <c r="Y14" s="64">
        <f t="shared" si="4"/>
        <v>26267.472000000002</v>
      </c>
      <c r="Z14" s="64">
        <f t="shared" si="4"/>
        <v>26267.472000000002</v>
      </c>
      <c r="AA14" s="64">
        <f t="shared" si="4"/>
        <v>26267.472000000002</v>
      </c>
      <c r="AB14" s="64">
        <f t="shared" si="4"/>
        <v>27055.496160000002</v>
      </c>
      <c r="AC14" s="64">
        <f t="shared" si="4"/>
        <v>27055.496160000002</v>
      </c>
      <c r="AD14" s="64">
        <f t="shared" si="4"/>
        <v>27055.496160000002</v>
      </c>
      <c r="AE14" s="64">
        <f t="shared" si="4"/>
        <v>27055.496160000002</v>
      </c>
      <c r="AF14" s="64">
        <f t="shared" si="4"/>
        <v>27055.496160000002</v>
      </c>
      <c r="AG14" s="64">
        <f t="shared" si="4"/>
        <v>27055.496160000002</v>
      </c>
      <c r="AH14" s="64">
        <f t="shared" si="4"/>
        <v>27055.496160000002</v>
      </c>
      <c r="AI14" s="64">
        <f t="shared" si="4"/>
        <v>27055.496160000002</v>
      </c>
      <c r="AJ14" s="64">
        <f t="shared" ref="AJ14:BO14" si="5">AJ11+AJ12+AJ13</f>
        <v>27055.496160000002</v>
      </c>
      <c r="AK14" s="64">
        <f t="shared" si="5"/>
        <v>27055.496160000002</v>
      </c>
      <c r="AL14" s="64">
        <f t="shared" si="5"/>
        <v>27055.496160000002</v>
      </c>
      <c r="AM14" s="64">
        <f t="shared" si="5"/>
        <v>27055.496160000002</v>
      </c>
      <c r="AN14" s="64">
        <f t="shared" si="5"/>
        <v>27867.161044800003</v>
      </c>
      <c r="AO14" s="64">
        <f t="shared" si="5"/>
        <v>27867.161044800003</v>
      </c>
      <c r="AP14" s="64">
        <f t="shared" si="5"/>
        <v>27867.161044800003</v>
      </c>
      <c r="AQ14" s="64">
        <f t="shared" si="5"/>
        <v>27867.161044800003</v>
      </c>
      <c r="AR14" s="64">
        <f t="shared" si="5"/>
        <v>27867.161044800003</v>
      </c>
      <c r="AS14" s="64">
        <f t="shared" si="5"/>
        <v>27867.161044800003</v>
      </c>
      <c r="AT14" s="64">
        <f t="shared" si="5"/>
        <v>27867.161044800003</v>
      </c>
      <c r="AU14" s="64">
        <f t="shared" si="5"/>
        <v>27867.161044800003</v>
      </c>
      <c r="AV14" s="64">
        <f t="shared" si="5"/>
        <v>27867.161044800003</v>
      </c>
      <c r="AW14" s="64">
        <f t="shared" si="5"/>
        <v>27867.161044800003</v>
      </c>
      <c r="AX14" s="64">
        <f t="shared" si="5"/>
        <v>27867.161044800003</v>
      </c>
      <c r="AY14" s="64">
        <f t="shared" si="5"/>
        <v>27867.161044800003</v>
      </c>
      <c r="AZ14" s="64">
        <f t="shared" si="5"/>
        <v>28703.175876144</v>
      </c>
      <c r="BA14" s="64">
        <f t="shared" si="5"/>
        <v>28703.175876144</v>
      </c>
      <c r="BB14" s="64">
        <f t="shared" si="5"/>
        <v>28703.175876144</v>
      </c>
      <c r="BC14" s="64">
        <f t="shared" si="5"/>
        <v>28703.175876144</v>
      </c>
      <c r="BD14" s="64">
        <f t="shared" si="5"/>
        <v>28703.175876144</v>
      </c>
      <c r="BE14" s="64">
        <f t="shared" si="5"/>
        <v>28703.175876144</v>
      </c>
      <c r="BF14" s="64">
        <f t="shared" si="5"/>
        <v>28703.175876144</v>
      </c>
      <c r="BG14" s="64">
        <f t="shared" si="5"/>
        <v>28703.175876144</v>
      </c>
      <c r="BH14" s="64">
        <f t="shared" si="5"/>
        <v>28703.175876144</v>
      </c>
      <c r="BI14" s="64">
        <f t="shared" si="5"/>
        <v>28703.175876144</v>
      </c>
      <c r="BJ14" s="64">
        <f t="shared" si="5"/>
        <v>28703.175876144</v>
      </c>
      <c r="BK14" s="64">
        <f t="shared" si="5"/>
        <v>28703.175876144</v>
      </c>
      <c r="BL14" s="64">
        <f t="shared" si="5"/>
        <v>29564.271152428319</v>
      </c>
      <c r="BM14" s="64">
        <f t="shared" si="5"/>
        <v>29564.271152428319</v>
      </c>
      <c r="BN14" s="64">
        <f t="shared" si="5"/>
        <v>29564.271152428319</v>
      </c>
      <c r="BO14" s="64">
        <f t="shared" si="5"/>
        <v>29564.271152428319</v>
      </c>
      <c r="BP14" s="64">
        <f t="shared" ref="BP14:CU14" si="6">BP11+BP12+BP13</f>
        <v>29564.271152428319</v>
      </c>
      <c r="BQ14" s="64">
        <f t="shared" si="6"/>
        <v>29564.271152428319</v>
      </c>
      <c r="BR14" s="64">
        <f t="shared" si="6"/>
        <v>29564.271152428319</v>
      </c>
      <c r="BS14" s="64">
        <f t="shared" si="6"/>
        <v>29564.271152428319</v>
      </c>
      <c r="BT14" s="64">
        <f t="shared" si="6"/>
        <v>29564.271152428319</v>
      </c>
      <c r="BU14" s="64">
        <f t="shared" si="6"/>
        <v>29564.271152428319</v>
      </c>
      <c r="BV14" s="64">
        <f t="shared" si="6"/>
        <v>29564.271152428319</v>
      </c>
      <c r="BW14" s="64">
        <f t="shared" si="6"/>
        <v>29564.271152428319</v>
      </c>
      <c r="BX14" s="64">
        <f t="shared" si="6"/>
        <v>30451.199287001171</v>
      </c>
      <c r="BY14" s="64">
        <f t="shared" si="6"/>
        <v>30451.199287001171</v>
      </c>
      <c r="BZ14" s="64">
        <f t="shared" si="6"/>
        <v>30451.199287001171</v>
      </c>
      <c r="CA14" s="64">
        <f t="shared" si="6"/>
        <v>30451.199287001171</v>
      </c>
      <c r="CB14" s="64">
        <f t="shared" si="6"/>
        <v>30451.199287001171</v>
      </c>
      <c r="CC14" s="64">
        <f t="shared" si="6"/>
        <v>30451.199287001171</v>
      </c>
      <c r="CD14" s="64">
        <f t="shared" si="6"/>
        <v>30451.199287001171</v>
      </c>
      <c r="CE14" s="64">
        <f t="shared" si="6"/>
        <v>30451.199287001171</v>
      </c>
      <c r="CF14" s="64">
        <f t="shared" si="6"/>
        <v>30451.199287001171</v>
      </c>
      <c r="CG14" s="64">
        <f t="shared" si="6"/>
        <v>30451.199287001171</v>
      </c>
      <c r="CH14" s="64">
        <f t="shared" si="6"/>
        <v>30451.199287001171</v>
      </c>
      <c r="CI14" s="64">
        <f t="shared" si="6"/>
        <v>30451.199287001171</v>
      </c>
      <c r="CJ14" s="64">
        <f t="shared" si="6"/>
        <v>31364.735265611209</v>
      </c>
      <c r="CK14" s="64">
        <f t="shared" si="6"/>
        <v>31364.735265611209</v>
      </c>
      <c r="CL14" s="64">
        <f t="shared" si="6"/>
        <v>31364.735265611209</v>
      </c>
      <c r="CM14" s="64">
        <f t="shared" si="6"/>
        <v>31364.735265611209</v>
      </c>
      <c r="CN14" s="64">
        <f t="shared" si="6"/>
        <v>31364.735265611209</v>
      </c>
      <c r="CO14" s="64">
        <f t="shared" si="6"/>
        <v>31364.735265611209</v>
      </c>
      <c r="CP14" s="64">
        <f t="shared" si="6"/>
        <v>31364.735265611209</v>
      </c>
      <c r="CQ14" s="64">
        <f t="shared" si="6"/>
        <v>31364.735265611209</v>
      </c>
      <c r="CR14" s="64">
        <f t="shared" si="6"/>
        <v>31364.735265611209</v>
      </c>
      <c r="CS14" s="64">
        <f t="shared" si="6"/>
        <v>31364.735265611209</v>
      </c>
      <c r="CT14" s="64">
        <f t="shared" si="6"/>
        <v>31364.735265611209</v>
      </c>
      <c r="CU14" s="64">
        <f t="shared" si="6"/>
        <v>31364.735265611209</v>
      </c>
      <c r="CV14" s="64">
        <f t="shared" ref="CV14:DS14" si="7">CV11+CV12+CV13</f>
        <v>32305.677323579541</v>
      </c>
      <c r="CW14" s="64">
        <f t="shared" si="7"/>
        <v>32305.677323579541</v>
      </c>
      <c r="CX14" s="64">
        <f t="shared" si="7"/>
        <v>32305.677323579541</v>
      </c>
      <c r="CY14" s="64">
        <f t="shared" si="7"/>
        <v>32305.677323579541</v>
      </c>
      <c r="CZ14" s="64">
        <f t="shared" si="7"/>
        <v>32305.677323579541</v>
      </c>
      <c r="DA14" s="64">
        <f t="shared" si="7"/>
        <v>32305.677323579541</v>
      </c>
      <c r="DB14" s="64">
        <f t="shared" si="7"/>
        <v>32305.677323579541</v>
      </c>
      <c r="DC14" s="64">
        <f t="shared" si="7"/>
        <v>32305.677323579541</v>
      </c>
      <c r="DD14" s="64">
        <f t="shared" si="7"/>
        <v>32305.677323579541</v>
      </c>
      <c r="DE14" s="64">
        <f t="shared" si="7"/>
        <v>32305.677323579541</v>
      </c>
      <c r="DF14" s="64">
        <f t="shared" si="7"/>
        <v>32305.677323579541</v>
      </c>
      <c r="DG14" s="64">
        <f t="shared" si="7"/>
        <v>32305.677323579541</v>
      </c>
      <c r="DH14" s="64">
        <f t="shared" si="7"/>
        <v>33274.847643286928</v>
      </c>
      <c r="DI14" s="64">
        <f t="shared" si="7"/>
        <v>33274.847643286928</v>
      </c>
      <c r="DJ14" s="64">
        <f t="shared" si="7"/>
        <v>33274.847643286928</v>
      </c>
      <c r="DK14" s="64">
        <f t="shared" si="7"/>
        <v>33274.847643286928</v>
      </c>
      <c r="DL14" s="64">
        <f t="shared" si="7"/>
        <v>33274.847643286928</v>
      </c>
      <c r="DM14" s="64">
        <f t="shared" si="7"/>
        <v>33274.847643286928</v>
      </c>
      <c r="DN14" s="64">
        <f t="shared" si="7"/>
        <v>33274.847643286928</v>
      </c>
      <c r="DO14" s="64">
        <f t="shared" si="7"/>
        <v>33274.847643286928</v>
      </c>
      <c r="DP14" s="64">
        <f t="shared" si="7"/>
        <v>33274.847643286928</v>
      </c>
      <c r="DQ14" s="64">
        <f t="shared" si="7"/>
        <v>33274.847643286928</v>
      </c>
      <c r="DR14" s="64">
        <f t="shared" si="7"/>
        <v>33274.847643286928</v>
      </c>
      <c r="DS14" s="64">
        <f t="shared" si="7"/>
        <v>33274.847643286928</v>
      </c>
    </row>
    <row r="15" spans="1:123" x14ac:dyDescent="0.25">
      <c r="A15" s="1" t="s">
        <v>268</v>
      </c>
      <c r="D15" s="64">
        <f>Assumptions!$B$20*Assumptions!$B$25*(1+Assumptions!$B$10)^(D5-1)</f>
        <v>2800</v>
      </c>
      <c r="E15" s="64">
        <f>Assumptions!$B$20*Assumptions!$B$25*(1+Assumptions!$B$10)^(E5-1)</f>
        <v>2800</v>
      </c>
      <c r="F15" s="64">
        <f>Assumptions!$B$20*Assumptions!$B$25*(1+Assumptions!$B$10)^(F5-1)</f>
        <v>2800</v>
      </c>
      <c r="G15" s="64">
        <f>Assumptions!$B$20*Assumptions!$B$25*(1+Assumptions!$B$10)^(G5-1)</f>
        <v>2800</v>
      </c>
      <c r="H15" s="64">
        <f>Assumptions!$B$20*Assumptions!$B$25*(1+Assumptions!$B$10)^(H5-1)</f>
        <v>2800</v>
      </c>
      <c r="I15" s="64">
        <f>Assumptions!$B$20*Assumptions!$B$25*(1+Assumptions!$B$10)^(I5-1)</f>
        <v>2800</v>
      </c>
      <c r="J15" s="64">
        <f>Assumptions!$B$20*Assumptions!$B$25*(1+Assumptions!$B$10)^(J5-1)</f>
        <v>2800</v>
      </c>
      <c r="K15" s="64">
        <f>Assumptions!$B$20*Assumptions!$B$25*(1+Assumptions!$B$10)^(K5-1)</f>
        <v>2800</v>
      </c>
      <c r="L15" s="64">
        <f>Assumptions!$B$20*Assumptions!$B$25*(1+Assumptions!$B$10)^(L5-1)</f>
        <v>2800</v>
      </c>
      <c r="M15" s="64">
        <f>Assumptions!$B$20*Assumptions!$B$25*(1+Assumptions!$B$10)^(M5-1)</f>
        <v>2800</v>
      </c>
      <c r="N15" s="64">
        <f>Assumptions!$B$20*Assumptions!$B$25*(1+Assumptions!$B$10)^(N5-1)</f>
        <v>2800</v>
      </c>
      <c r="O15" s="64">
        <f>Assumptions!$B$20*Assumptions!$B$25*(1+Assumptions!$B$10)^(O5-1)</f>
        <v>2800</v>
      </c>
      <c r="P15" s="64">
        <f>Assumptions!$B$20*Assumptions!$B$25*(1+Assumptions!$B$10)^(P5-1)</f>
        <v>2884</v>
      </c>
      <c r="Q15" s="64">
        <f>Assumptions!$B$20*Assumptions!$B$25*(1+Assumptions!$B$10)^(Q5-1)</f>
        <v>2884</v>
      </c>
      <c r="R15" s="64">
        <f>Assumptions!$B$20*Assumptions!$B$25*(1+Assumptions!$B$10)^(R5-1)</f>
        <v>2884</v>
      </c>
      <c r="S15" s="64">
        <f>Assumptions!$B$20*Assumptions!$B$25*(1+Assumptions!$B$10)^(S5-1)</f>
        <v>2884</v>
      </c>
      <c r="T15" s="64">
        <f>Assumptions!$B$20*Assumptions!$B$25*(1+Assumptions!$B$10)^(T5-1)</f>
        <v>2884</v>
      </c>
      <c r="U15" s="64">
        <f>Assumptions!$B$20*Assumptions!$B$25*(1+Assumptions!$B$10)^(U5-1)</f>
        <v>2884</v>
      </c>
      <c r="V15" s="64">
        <f>Assumptions!$B$20*Assumptions!$B$25*(1+Assumptions!$B$10)^(V5-1)</f>
        <v>2884</v>
      </c>
      <c r="W15" s="64">
        <f>Assumptions!$B$20*Assumptions!$B$25*(1+Assumptions!$B$10)^(W5-1)</f>
        <v>2884</v>
      </c>
      <c r="X15" s="64">
        <f>Assumptions!$B$20*Assumptions!$B$25*(1+Assumptions!$B$10)^(X5-1)</f>
        <v>2884</v>
      </c>
      <c r="Y15" s="64">
        <f>Assumptions!$B$20*Assumptions!$B$25*(1+Assumptions!$B$10)^(Y5-1)</f>
        <v>2884</v>
      </c>
      <c r="Z15" s="64">
        <f>Assumptions!$B$20*Assumptions!$B$25*(1+Assumptions!$B$10)^(Z5-1)</f>
        <v>2884</v>
      </c>
      <c r="AA15" s="64">
        <f>Assumptions!$B$20*Assumptions!$B$25*(1+Assumptions!$B$10)^(AA5-1)</f>
        <v>2884</v>
      </c>
      <c r="AB15" s="64">
        <f>Assumptions!$B$20*Assumptions!$B$25*(1+Assumptions!$B$10)^(AB5-1)</f>
        <v>2970.52</v>
      </c>
      <c r="AC15" s="64">
        <f>Assumptions!$B$20*Assumptions!$B$25*(1+Assumptions!$B$10)^(AC5-1)</f>
        <v>2970.52</v>
      </c>
      <c r="AD15" s="64">
        <f>Assumptions!$B$20*Assumptions!$B$25*(1+Assumptions!$B$10)^(AD5-1)</f>
        <v>2970.52</v>
      </c>
      <c r="AE15" s="64">
        <f>Assumptions!$B$20*Assumptions!$B$25*(1+Assumptions!$B$10)^(AE5-1)</f>
        <v>2970.52</v>
      </c>
      <c r="AF15" s="64">
        <f>Assumptions!$B$20*Assumptions!$B$25*(1+Assumptions!$B$10)^(AF5-1)</f>
        <v>2970.52</v>
      </c>
      <c r="AG15" s="64">
        <f>Assumptions!$B$20*Assumptions!$B$25*(1+Assumptions!$B$10)^(AG5-1)</f>
        <v>2970.52</v>
      </c>
      <c r="AH15" s="64">
        <f>Assumptions!$B$20*Assumptions!$B$25*(1+Assumptions!$B$10)^(AH5-1)</f>
        <v>2970.52</v>
      </c>
      <c r="AI15" s="64">
        <f>Assumptions!$B$20*Assumptions!$B$25*(1+Assumptions!$B$10)^(AI5-1)</f>
        <v>2970.52</v>
      </c>
      <c r="AJ15" s="64">
        <f>Assumptions!$B$20*Assumptions!$B$25*(1+Assumptions!$B$10)^(AJ5-1)</f>
        <v>2970.52</v>
      </c>
      <c r="AK15" s="64">
        <f>Assumptions!$B$20*Assumptions!$B$25*(1+Assumptions!$B$10)^(AK5-1)</f>
        <v>2970.52</v>
      </c>
      <c r="AL15" s="64">
        <f>Assumptions!$B$20*Assumptions!$B$25*(1+Assumptions!$B$10)^(AL5-1)</f>
        <v>2970.52</v>
      </c>
      <c r="AM15" s="64">
        <f>Assumptions!$B$20*Assumptions!$B$25*(1+Assumptions!$B$10)^(AM5-1)</f>
        <v>2970.52</v>
      </c>
      <c r="AN15" s="64">
        <f>Assumptions!$B$20*Assumptions!$B$25*(1+Assumptions!$B$10)^(AN5-1)</f>
        <v>3059.6356000000001</v>
      </c>
      <c r="AO15" s="64">
        <f>Assumptions!$B$20*Assumptions!$B$25*(1+Assumptions!$B$10)^(AO5-1)</f>
        <v>3059.6356000000001</v>
      </c>
      <c r="AP15" s="64">
        <f>Assumptions!$B$20*Assumptions!$B$25*(1+Assumptions!$B$10)^(AP5-1)</f>
        <v>3059.6356000000001</v>
      </c>
      <c r="AQ15" s="64">
        <f>Assumptions!$B$20*Assumptions!$B$25*(1+Assumptions!$B$10)^(AQ5-1)</f>
        <v>3059.6356000000001</v>
      </c>
      <c r="AR15" s="64">
        <f>Assumptions!$B$20*Assumptions!$B$25*(1+Assumptions!$B$10)^(AR5-1)</f>
        <v>3059.6356000000001</v>
      </c>
      <c r="AS15" s="64">
        <f>Assumptions!$B$20*Assumptions!$B$25*(1+Assumptions!$B$10)^(AS5-1)</f>
        <v>3059.6356000000001</v>
      </c>
      <c r="AT15" s="64">
        <f>Assumptions!$B$20*Assumptions!$B$25*(1+Assumptions!$B$10)^(AT5-1)</f>
        <v>3059.6356000000001</v>
      </c>
      <c r="AU15" s="64">
        <f>Assumptions!$B$20*Assumptions!$B$25*(1+Assumptions!$B$10)^(AU5-1)</f>
        <v>3059.6356000000001</v>
      </c>
      <c r="AV15" s="64">
        <f>Assumptions!$B$20*Assumptions!$B$25*(1+Assumptions!$B$10)^(AV5-1)</f>
        <v>3059.6356000000001</v>
      </c>
      <c r="AW15" s="64">
        <f>Assumptions!$B$20*Assumptions!$B$25*(1+Assumptions!$B$10)^(AW5-1)</f>
        <v>3059.6356000000001</v>
      </c>
      <c r="AX15" s="64">
        <f>Assumptions!$B$20*Assumptions!$B$25*(1+Assumptions!$B$10)^(AX5-1)</f>
        <v>3059.6356000000001</v>
      </c>
      <c r="AY15" s="64">
        <f>Assumptions!$B$20*Assumptions!$B$25*(1+Assumptions!$B$10)^(AY5-1)</f>
        <v>3059.6356000000001</v>
      </c>
      <c r="AZ15" s="64">
        <f>Assumptions!$B$20*Assumptions!$B$25*(1+Assumptions!$B$10)^(AZ5-1)</f>
        <v>3151.4246679999997</v>
      </c>
      <c r="BA15" s="64">
        <f>Assumptions!$B$20*Assumptions!$B$25*(1+Assumptions!$B$10)^(BA5-1)</f>
        <v>3151.4246679999997</v>
      </c>
      <c r="BB15" s="64">
        <f>Assumptions!$B$20*Assumptions!$B$25*(1+Assumptions!$B$10)^(BB5-1)</f>
        <v>3151.4246679999997</v>
      </c>
      <c r="BC15" s="64">
        <f>Assumptions!$B$20*Assumptions!$B$25*(1+Assumptions!$B$10)^(BC5-1)</f>
        <v>3151.4246679999997</v>
      </c>
      <c r="BD15" s="64">
        <f>Assumptions!$B$20*Assumptions!$B$25*(1+Assumptions!$B$10)^(BD5-1)</f>
        <v>3151.4246679999997</v>
      </c>
      <c r="BE15" s="64">
        <f>Assumptions!$B$20*Assumptions!$B$25*(1+Assumptions!$B$10)^(BE5-1)</f>
        <v>3151.4246679999997</v>
      </c>
      <c r="BF15" s="64">
        <f>Assumptions!$B$20*Assumptions!$B$25*(1+Assumptions!$B$10)^(BF5-1)</f>
        <v>3151.4246679999997</v>
      </c>
      <c r="BG15" s="64">
        <f>Assumptions!$B$20*Assumptions!$B$25*(1+Assumptions!$B$10)^(BG5-1)</f>
        <v>3151.4246679999997</v>
      </c>
      <c r="BH15" s="64">
        <f>Assumptions!$B$20*Assumptions!$B$25*(1+Assumptions!$B$10)^(BH5-1)</f>
        <v>3151.4246679999997</v>
      </c>
      <c r="BI15" s="64">
        <f>Assumptions!$B$20*Assumptions!$B$25*(1+Assumptions!$B$10)^(BI5-1)</f>
        <v>3151.4246679999997</v>
      </c>
      <c r="BJ15" s="64">
        <f>Assumptions!$B$20*Assumptions!$B$25*(1+Assumptions!$B$10)^(BJ5-1)</f>
        <v>3151.4246679999997</v>
      </c>
      <c r="BK15" s="64">
        <f>Assumptions!$B$20*Assumptions!$B$25*(1+Assumptions!$B$10)^(BK5-1)</f>
        <v>3151.4246679999997</v>
      </c>
      <c r="BL15" s="64">
        <f>Assumptions!$B$20*Assumptions!$B$25*(1+Assumptions!$B$10)^(BL5-1)</f>
        <v>3245.9674080399996</v>
      </c>
      <c r="BM15" s="64">
        <f>Assumptions!$B$20*Assumptions!$B$25*(1+Assumptions!$B$10)^(BM5-1)</f>
        <v>3245.9674080399996</v>
      </c>
      <c r="BN15" s="64">
        <f>Assumptions!$B$20*Assumptions!$B$25*(1+Assumptions!$B$10)^(BN5-1)</f>
        <v>3245.9674080399996</v>
      </c>
      <c r="BO15" s="64">
        <f>Assumptions!$B$20*Assumptions!$B$25*(1+Assumptions!$B$10)^(BO5-1)</f>
        <v>3245.9674080399996</v>
      </c>
      <c r="BP15" s="64">
        <f>Assumptions!$B$20*Assumptions!$B$25*(1+Assumptions!$B$10)^(BP5-1)</f>
        <v>3245.9674080399996</v>
      </c>
      <c r="BQ15" s="64">
        <f>Assumptions!$B$20*Assumptions!$B$25*(1+Assumptions!$B$10)^(BQ5-1)</f>
        <v>3245.9674080399996</v>
      </c>
      <c r="BR15" s="64">
        <f>Assumptions!$B$20*Assumptions!$B$25*(1+Assumptions!$B$10)^(BR5-1)</f>
        <v>3245.9674080399996</v>
      </c>
      <c r="BS15" s="64">
        <f>Assumptions!$B$20*Assumptions!$B$25*(1+Assumptions!$B$10)^(BS5-1)</f>
        <v>3245.9674080399996</v>
      </c>
      <c r="BT15" s="64">
        <f>Assumptions!$B$20*Assumptions!$B$25*(1+Assumptions!$B$10)^(BT5-1)</f>
        <v>3245.9674080399996</v>
      </c>
      <c r="BU15" s="64">
        <f>Assumptions!$B$20*Assumptions!$B$25*(1+Assumptions!$B$10)^(BU5-1)</f>
        <v>3245.9674080399996</v>
      </c>
      <c r="BV15" s="64">
        <f>Assumptions!$B$20*Assumptions!$B$25*(1+Assumptions!$B$10)^(BV5-1)</f>
        <v>3245.9674080399996</v>
      </c>
      <c r="BW15" s="64">
        <f>Assumptions!$B$20*Assumptions!$B$25*(1+Assumptions!$B$10)^(BW5-1)</f>
        <v>3245.9674080399996</v>
      </c>
      <c r="BX15" s="64">
        <f>Assumptions!$B$20*Assumptions!$B$25*(1+Assumptions!$B$10)^(BX5-1)</f>
        <v>3343.3464302811999</v>
      </c>
      <c r="BY15" s="64">
        <f>Assumptions!$B$20*Assumptions!$B$25*(1+Assumptions!$B$10)^(BY5-1)</f>
        <v>3343.3464302811999</v>
      </c>
      <c r="BZ15" s="64">
        <f>Assumptions!$B$20*Assumptions!$B$25*(1+Assumptions!$B$10)^(BZ5-1)</f>
        <v>3343.3464302811999</v>
      </c>
      <c r="CA15" s="64">
        <f>Assumptions!$B$20*Assumptions!$B$25*(1+Assumptions!$B$10)^(CA5-1)</f>
        <v>3343.3464302811999</v>
      </c>
      <c r="CB15" s="64">
        <f>Assumptions!$B$20*Assumptions!$B$25*(1+Assumptions!$B$10)^(CB5-1)</f>
        <v>3343.3464302811999</v>
      </c>
      <c r="CC15" s="64">
        <f>Assumptions!$B$20*Assumptions!$B$25*(1+Assumptions!$B$10)^(CC5-1)</f>
        <v>3343.3464302811999</v>
      </c>
      <c r="CD15" s="64">
        <f>Assumptions!$B$20*Assumptions!$B$25*(1+Assumptions!$B$10)^(CD5-1)</f>
        <v>3343.3464302811999</v>
      </c>
      <c r="CE15" s="64">
        <f>Assumptions!$B$20*Assumptions!$B$25*(1+Assumptions!$B$10)^(CE5-1)</f>
        <v>3343.3464302811999</v>
      </c>
      <c r="CF15" s="64">
        <f>Assumptions!$B$20*Assumptions!$B$25*(1+Assumptions!$B$10)^(CF5-1)</f>
        <v>3343.3464302811999</v>
      </c>
      <c r="CG15" s="64">
        <f>Assumptions!$B$20*Assumptions!$B$25*(1+Assumptions!$B$10)^(CG5-1)</f>
        <v>3343.3464302811999</v>
      </c>
      <c r="CH15" s="64">
        <f>Assumptions!$B$20*Assumptions!$B$25*(1+Assumptions!$B$10)^(CH5-1)</f>
        <v>3343.3464302811999</v>
      </c>
      <c r="CI15" s="64">
        <f>Assumptions!$B$20*Assumptions!$B$25*(1+Assumptions!$B$10)^(CI5-1)</f>
        <v>3343.3464302811999</v>
      </c>
      <c r="CJ15" s="64">
        <f>Assumptions!$B$20*Assumptions!$B$25*(1+Assumptions!$B$10)^(CJ5-1)</f>
        <v>3443.6468231896361</v>
      </c>
      <c r="CK15" s="64">
        <f>Assumptions!$B$20*Assumptions!$B$25*(1+Assumptions!$B$10)^(CK5-1)</f>
        <v>3443.6468231896361</v>
      </c>
      <c r="CL15" s="64">
        <f>Assumptions!$B$20*Assumptions!$B$25*(1+Assumptions!$B$10)^(CL5-1)</f>
        <v>3443.6468231896361</v>
      </c>
      <c r="CM15" s="64">
        <f>Assumptions!$B$20*Assumptions!$B$25*(1+Assumptions!$B$10)^(CM5-1)</f>
        <v>3443.6468231896361</v>
      </c>
      <c r="CN15" s="64">
        <f>Assumptions!$B$20*Assumptions!$B$25*(1+Assumptions!$B$10)^(CN5-1)</f>
        <v>3443.6468231896361</v>
      </c>
      <c r="CO15" s="64">
        <f>Assumptions!$B$20*Assumptions!$B$25*(1+Assumptions!$B$10)^(CO5-1)</f>
        <v>3443.6468231896361</v>
      </c>
      <c r="CP15" s="64">
        <f>Assumptions!$B$20*Assumptions!$B$25*(1+Assumptions!$B$10)^(CP5-1)</f>
        <v>3443.6468231896361</v>
      </c>
      <c r="CQ15" s="64">
        <f>Assumptions!$B$20*Assumptions!$B$25*(1+Assumptions!$B$10)^(CQ5-1)</f>
        <v>3443.6468231896361</v>
      </c>
      <c r="CR15" s="64">
        <f>Assumptions!$B$20*Assumptions!$B$25*(1+Assumptions!$B$10)^(CR5-1)</f>
        <v>3443.6468231896361</v>
      </c>
      <c r="CS15" s="64">
        <f>Assumptions!$B$20*Assumptions!$B$25*(1+Assumptions!$B$10)^(CS5-1)</f>
        <v>3443.6468231896361</v>
      </c>
      <c r="CT15" s="64">
        <f>Assumptions!$B$20*Assumptions!$B$25*(1+Assumptions!$B$10)^(CT5-1)</f>
        <v>3443.6468231896361</v>
      </c>
      <c r="CU15" s="64">
        <f>Assumptions!$B$20*Assumptions!$B$25*(1+Assumptions!$B$10)^(CU5-1)</f>
        <v>3443.6468231896361</v>
      </c>
      <c r="CV15" s="64">
        <f>Assumptions!$B$20*Assumptions!$B$25*(1+Assumptions!$B$10)^(CV5-1)</f>
        <v>3546.9562278853246</v>
      </c>
      <c r="CW15" s="64">
        <f>Assumptions!$B$20*Assumptions!$B$25*(1+Assumptions!$B$10)^(CW5-1)</f>
        <v>3546.9562278853246</v>
      </c>
      <c r="CX15" s="64">
        <f>Assumptions!$B$20*Assumptions!$B$25*(1+Assumptions!$B$10)^(CX5-1)</f>
        <v>3546.9562278853246</v>
      </c>
      <c r="CY15" s="64">
        <f>Assumptions!$B$20*Assumptions!$B$25*(1+Assumptions!$B$10)^(CY5-1)</f>
        <v>3546.9562278853246</v>
      </c>
      <c r="CZ15" s="64">
        <f>Assumptions!$B$20*Assumptions!$B$25*(1+Assumptions!$B$10)^(CZ5-1)</f>
        <v>3546.9562278853246</v>
      </c>
      <c r="DA15" s="64">
        <f>Assumptions!$B$20*Assumptions!$B$25*(1+Assumptions!$B$10)^(DA5-1)</f>
        <v>3546.9562278853246</v>
      </c>
      <c r="DB15" s="64">
        <f>Assumptions!$B$20*Assumptions!$B$25*(1+Assumptions!$B$10)^(DB5-1)</f>
        <v>3546.9562278853246</v>
      </c>
      <c r="DC15" s="64">
        <f>Assumptions!$B$20*Assumptions!$B$25*(1+Assumptions!$B$10)^(DC5-1)</f>
        <v>3546.9562278853246</v>
      </c>
      <c r="DD15" s="64">
        <f>Assumptions!$B$20*Assumptions!$B$25*(1+Assumptions!$B$10)^(DD5-1)</f>
        <v>3546.9562278853246</v>
      </c>
      <c r="DE15" s="64">
        <f>Assumptions!$B$20*Assumptions!$B$25*(1+Assumptions!$B$10)^(DE5-1)</f>
        <v>3546.9562278853246</v>
      </c>
      <c r="DF15" s="64">
        <f>Assumptions!$B$20*Assumptions!$B$25*(1+Assumptions!$B$10)^(DF5-1)</f>
        <v>3546.9562278853246</v>
      </c>
      <c r="DG15" s="64">
        <f>Assumptions!$B$20*Assumptions!$B$25*(1+Assumptions!$B$10)^(DG5-1)</f>
        <v>3546.9562278853246</v>
      </c>
      <c r="DH15" s="64">
        <f>Assumptions!$B$20*Assumptions!$B$25*(1+Assumptions!$B$10)^(DH5-1)</f>
        <v>3653.3649147218844</v>
      </c>
      <c r="DI15" s="64">
        <f>Assumptions!$B$20*Assumptions!$B$25*(1+Assumptions!$B$10)^(DI5-1)</f>
        <v>3653.3649147218844</v>
      </c>
      <c r="DJ15" s="64">
        <f>Assumptions!$B$20*Assumptions!$B$25*(1+Assumptions!$B$10)^(DJ5-1)</f>
        <v>3653.3649147218844</v>
      </c>
      <c r="DK15" s="64">
        <f>Assumptions!$B$20*Assumptions!$B$25*(1+Assumptions!$B$10)^(DK5-1)</f>
        <v>3653.3649147218844</v>
      </c>
      <c r="DL15" s="64">
        <f>Assumptions!$B$20*Assumptions!$B$25*(1+Assumptions!$B$10)^(DL5-1)</f>
        <v>3653.3649147218844</v>
      </c>
      <c r="DM15" s="64">
        <f>Assumptions!$B$20*Assumptions!$B$25*(1+Assumptions!$B$10)^(DM5-1)</f>
        <v>3653.3649147218844</v>
      </c>
      <c r="DN15" s="64">
        <f>Assumptions!$B$20*Assumptions!$B$25*(1+Assumptions!$B$10)^(DN5-1)</f>
        <v>3653.3649147218844</v>
      </c>
      <c r="DO15" s="64">
        <f>Assumptions!$B$20*Assumptions!$B$25*(1+Assumptions!$B$10)^(DO5-1)</f>
        <v>3653.3649147218844</v>
      </c>
      <c r="DP15" s="64">
        <f>Assumptions!$B$20*Assumptions!$B$25*(1+Assumptions!$B$10)^(DP5-1)</f>
        <v>3653.3649147218844</v>
      </c>
      <c r="DQ15" s="64">
        <f>Assumptions!$B$20*Assumptions!$B$25*(1+Assumptions!$B$10)^(DQ5-1)</f>
        <v>3653.3649147218844</v>
      </c>
      <c r="DR15" s="64">
        <f>Assumptions!$B$20*Assumptions!$B$25*(1+Assumptions!$B$10)^(DR5-1)</f>
        <v>3653.3649147218844</v>
      </c>
      <c r="DS15" s="64">
        <f>Assumptions!$B$20*Assumptions!$B$25*(1+Assumptions!$B$10)^(DS5-1)</f>
        <v>3653.3649147218844</v>
      </c>
    </row>
    <row r="16" spans="1:123" x14ac:dyDescent="0.25">
      <c r="A16" s="1" t="s">
        <v>269</v>
      </c>
      <c r="D16" s="64">
        <f>D8*Assumptions!$B$26*(1+Assumptions!$B$30)^(D5-1)</f>
        <v>1215.1111111111111</v>
      </c>
      <c r="E16" s="64">
        <f>E8*Assumptions!$B$26*(1+Assumptions!$B$30)^(E5-1)</f>
        <v>1230.2222222222222</v>
      </c>
      <c r="F16" s="64">
        <f>F8*Assumptions!$B$26*(1+Assumptions!$B$30)^(F5-1)</f>
        <v>1245.3333333333333</v>
      </c>
      <c r="G16" s="64">
        <f>G8*Assumptions!$B$26*(1+Assumptions!$B$30)^(G5-1)</f>
        <v>1260.4444444444446</v>
      </c>
      <c r="H16" s="64">
        <f>H8*Assumptions!$B$26*(1+Assumptions!$B$30)^(H5-1)</f>
        <v>1275.5555555555557</v>
      </c>
      <c r="I16" s="64">
        <f>I8*Assumptions!$B$26*(1+Assumptions!$B$30)^(I5-1)</f>
        <v>1290.6666666666665</v>
      </c>
      <c r="J16" s="64">
        <f>J8*Assumptions!$B$26*(1+Assumptions!$B$30)^(J5-1)</f>
        <v>1305.7777777777778</v>
      </c>
      <c r="K16" s="64">
        <f>K8*Assumptions!$B$26*(1+Assumptions!$B$30)^(K5-1)</f>
        <v>1320.8888888888891</v>
      </c>
      <c r="L16" s="64">
        <f>L8*Assumptions!$B$26*(1+Assumptions!$B$30)^(L5-1)</f>
        <v>1336.0000000000002</v>
      </c>
      <c r="M16" s="64">
        <f>M8*Assumptions!$B$26*(1+Assumptions!$B$30)^(M5-1)</f>
        <v>1351.1111111111111</v>
      </c>
      <c r="N16" s="64">
        <f>N8*Assumptions!$B$26*(1+Assumptions!$B$30)^(N5-1)</f>
        <v>1366.2222222222224</v>
      </c>
      <c r="O16" s="64">
        <f>O8*Assumptions!$B$26*(1+Assumptions!$B$30)^(O5-1)</f>
        <v>1381.3333333333335</v>
      </c>
      <c r="P16" s="64">
        <f>P8*Assumptions!$B$26*(1+Assumptions!$B$30)^(P5-1)</f>
        <v>1431.3555555555554</v>
      </c>
      <c r="Q16" s="64">
        <f>Q8*Assumptions!$B$26*(1+Assumptions!$B$30)^(Q5-1)</f>
        <v>1446.8444444444444</v>
      </c>
      <c r="R16" s="64">
        <f>R8*Assumptions!$B$26*(1+Assumptions!$B$30)^(R5-1)</f>
        <v>1462.3333333333335</v>
      </c>
      <c r="S16" s="64">
        <f>S8*Assumptions!$B$26*(1+Assumptions!$B$30)^(S5-1)</f>
        <v>1477.8222222222223</v>
      </c>
      <c r="T16" s="64">
        <f>T8*Assumptions!$B$26*(1+Assumptions!$B$30)^(T5-1)</f>
        <v>1493.3111111111109</v>
      </c>
      <c r="U16" s="64">
        <f>U8*Assumptions!$B$26*(1+Assumptions!$B$30)^(U5-1)</f>
        <v>1508.8000000000002</v>
      </c>
      <c r="V16" s="64">
        <f>V8*Assumptions!$B$26*(1+Assumptions!$B$30)^(V5-1)</f>
        <v>1508.8000000000002</v>
      </c>
      <c r="W16" s="64">
        <f>W8*Assumptions!$B$26*(1+Assumptions!$B$30)^(W5-1)</f>
        <v>1508.8000000000002</v>
      </c>
      <c r="X16" s="64">
        <f>X8*Assumptions!$B$26*(1+Assumptions!$B$30)^(X5-1)</f>
        <v>1508.8000000000002</v>
      </c>
      <c r="Y16" s="64">
        <f>Y8*Assumptions!$B$26*(1+Assumptions!$B$30)^(Y5-1)</f>
        <v>1508.8000000000002</v>
      </c>
      <c r="Z16" s="64">
        <f>Z8*Assumptions!$B$26*(1+Assumptions!$B$30)^(Z5-1)</f>
        <v>1508.8000000000002</v>
      </c>
      <c r="AA16" s="64">
        <f>AA8*Assumptions!$B$26*(1+Assumptions!$B$30)^(AA5-1)</f>
        <v>1508.8000000000002</v>
      </c>
      <c r="AB16" s="64">
        <f>AB8*Assumptions!$B$26*(1+Assumptions!$B$30)^(AB5-1)</f>
        <v>1546.5200000000002</v>
      </c>
      <c r="AC16" s="64">
        <f>AC8*Assumptions!$B$26*(1+Assumptions!$B$30)^(AC5-1)</f>
        <v>1546.5200000000002</v>
      </c>
      <c r="AD16" s="64">
        <f>AD8*Assumptions!$B$26*(1+Assumptions!$B$30)^(AD5-1)</f>
        <v>1546.5200000000002</v>
      </c>
      <c r="AE16" s="64">
        <f>AE8*Assumptions!$B$26*(1+Assumptions!$B$30)^(AE5-1)</f>
        <v>1546.5200000000002</v>
      </c>
      <c r="AF16" s="64">
        <f>AF8*Assumptions!$B$26*(1+Assumptions!$B$30)^(AF5-1)</f>
        <v>1546.5200000000002</v>
      </c>
      <c r="AG16" s="64">
        <f>AG8*Assumptions!$B$26*(1+Assumptions!$B$30)^(AG5-1)</f>
        <v>1546.5200000000002</v>
      </c>
      <c r="AH16" s="64">
        <f>AH8*Assumptions!$B$26*(1+Assumptions!$B$30)^(AH5-1)</f>
        <v>1546.5200000000002</v>
      </c>
      <c r="AI16" s="64">
        <f>AI8*Assumptions!$B$26*(1+Assumptions!$B$30)^(AI5-1)</f>
        <v>1546.5200000000002</v>
      </c>
      <c r="AJ16" s="64">
        <f>AJ8*Assumptions!$B$26*(1+Assumptions!$B$30)^(AJ5-1)</f>
        <v>1546.5200000000002</v>
      </c>
      <c r="AK16" s="64">
        <f>AK8*Assumptions!$B$26*(1+Assumptions!$B$30)^(AK5-1)</f>
        <v>1546.5200000000002</v>
      </c>
      <c r="AL16" s="64">
        <f>AL8*Assumptions!$B$26*(1+Assumptions!$B$30)^(AL5-1)</f>
        <v>1546.5200000000002</v>
      </c>
      <c r="AM16" s="64">
        <f>AM8*Assumptions!$B$26*(1+Assumptions!$B$30)^(AM5-1)</f>
        <v>1546.5200000000002</v>
      </c>
      <c r="AN16" s="64">
        <f>AN8*Assumptions!$B$26*(1+Assumptions!$B$30)^(AN5-1)</f>
        <v>1585.183</v>
      </c>
      <c r="AO16" s="64">
        <f>AO8*Assumptions!$B$26*(1+Assumptions!$B$30)^(AO5-1)</f>
        <v>1585.183</v>
      </c>
      <c r="AP16" s="64">
        <f>AP8*Assumptions!$B$26*(1+Assumptions!$B$30)^(AP5-1)</f>
        <v>1585.183</v>
      </c>
      <c r="AQ16" s="64">
        <f>AQ8*Assumptions!$B$26*(1+Assumptions!$B$30)^(AQ5-1)</f>
        <v>1585.183</v>
      </c>
      <c r="AR16" s="64">
        <f>AR8*Assumptions!$B$26*(1+Assumptions!$B$30)^(AR5-1)</f>
        <v>1585.183</v>
      </c>
      <c r="AS16" s="64">
        <f>AS8*Assumptions!$B$26*(1+Assumptions!$B$30)^(AS5-1)</f>
        <v>1585.183</v>
      </c>
      <c r="AT16" s="64">
        <f>AT8*Assumptions!$B$26*(1+Assumptions!$B$30)^(AT5-1)</f>
        <v>1585.183</v>
      </c>
      <c r="AU16" s="64">
        <f>AU8*Assumptions!$B$26*(1+Assumptions!$B$30)^(AU5-1)</f>
        <v>1585.183</v>
      </c>
      <c r="AV16" s="64">
        <f>AV8*Assumptions!$B$26*(1+Assumptions!$B$30)^(AV5-1)</f>
        <v>1585.183</v>
      </c>
      <c r="AW16" s="64">
        <f>AW8*Assumptions!$B$26*(1+Assumptions!$B$30)^(AW5-1)</f>
        <v>1585.183</v>
      </c>
      <c r="AX16" s="64">
        <f>AX8*Assumptions!$B$26*(1+Assumptions!$B$30)^(AX5-1)</f>
        <v>1585.183</v>
      </c>
      <c r="AY16" s="64">
        <f>AY8*Assumptions!$B$26*(1+Assumptions!$B$30)^(AY5-1)</f>
        <v>1585.183</v>
      </c>
      <c r="AZ16" s="64">
        <f>AZ8*Assumptions!$B$26*(1+Assumptions!$B$30)^(AZ5-1)</f>
        <v>1624.8125749999999</v>
      </c>
      <c r="BA16" s="64">
        <f>BA8*Assumptions!$B$26*(1+Assumptions!$B$30)^(BA5-1)</f>
        <v>1624.8125749999999</v>
      </c>
      <c r="BB16" s="64">
        <f>BB8*Assumptions!$B$26*(1+Assumptions!$B$30)^(BB5-1)</f>
        <v>1624.8125749999999</v>
      </c>
      <c r="BC16" s="64">
        <f>BC8*Assumptions!$B$26*(1+Assumptions!$B$30)^(BC5-1)</f>
        <v>1624.8125749999999</v>
      </c>
      <c r="BD16" s="64">
        <f>BD8*Assumptions!$B$26*(1+Assumptions!$B$30)^(BD5-1)</f>
        <v>1624.8125749999999</v>
      </c>
      <c r="BE16" s="64">
        <f>BE8*Assumptions!$B$26*(1+Assumptions!$B$30)^(BE5-1)</f>
        <v>1624.8125749999999</v>
      </c>
      <c r="BF16" s="64">
        <f>BF8*Assumptions!$B$26*(1+Assumptions!$B$30)^(BF5-1)</f>
        <v>1624.8125749999999</v>
      </c>
      <c r="BG16" s="64">
        <f>BG8*Assumptions!$B$26*(1+Assumptions!$B$30)^(BG5-1)</f>
        <v>1624.8125749999999</v>
      </c>
      <c r="BH16" s="64">
        <f>BH8*Assumptions!$B$26*(1+Assumptions!$B$30)^(BH5-1)</f>
        <v>1624.8125749999999</v>
      </c>
      <c r="BI16" s="64">
        <f>BI8*Assumptions!$B$26*(1+Assumptions!$B$30)^(BI5-1)</f>
        <v>1624.8125749999999</v>
      </c>
      <c r="BJ16" s="64">
        <f>BJ8*Assumptions!$B$26*(1+Assumptions!$B$30)^(BJ5-1)</f>
        <v>1624.8125749999999</v>
      </c>
      <c r="BK16" s="64">
        <f>BK8*Assumptions!$B$26*(1+Assumptions!$B$30)^(BK5-1)</f>
        <v>1624.8125749999999</v>
      </c>
      <c r="BL16" s="64">
        <f>BL8*Assumptions!$B$26*(1+Assumptions!$B$30)^(BL5-1)</f>
        <v>1665.4328893749998</v>
      </c>
      <c r="BM16" s="64">
        <f>BM8*Assumptions!$B$26*(1+Assumptions!$B$30)^(BM5-1)</f>
        <v>1665.4328893749998</v>
      </c>
      <c r="BN16" s="64">
        <f>BN8*Assumptions!$B$26*(1+Assumptions!$B$30)^(BN5-1)</f>
        <v>1665.4328893749998</v>
      </c>
      <c r="BO16" s="64">
        <f>BO8*Assumptions!$B$26*(1+Assumptions!$B$30)^(BO5-1)</f>
        <v>1665.4328893749998</v>
      </c>
      <c r="BP16" s="64">
        <f>BP8*Assumptions!$B$26*(1+Assumptions!$B$30)^(BP5-1)</f>
        <v>1665.4328893749998</v>
      </c>
      <c r="BQ16" s="64">
        <f>BQ8*Assumptions!$B$26*(1+Assumptions!$B$30)^(BQ5-1)</f>
        <v>1665.4328893749998</v>
      </c>
      <c r="BR16" s="64">
        <f>BR8*Assumptions!$B$26*(1+Assumptions!$B$30)^(BR5-1)</f>
        <v>1665.4328893749998</v>
      </c>
      <c r="BS16" s="64">
        <f>BS8*Assumptions!$B$26*(1+Assumptions!$B$30)^(BS5-1)</f>
        <v>1665.4328893749998</v>
      </c>
      <c r="BT16" s="64">
        <f>BT8*Assumptions!$B$26*(1+Assumptions!$B$30)^(BT5-1)</f>
        <v>1665.4328893749998</v>
      </c>
      <c r="BU16" s="64">
        <f>BU8*Assumptions!$B$26*(1+Assumptions!$B$30)^(BU5-1)</f>
        <v>1665.4328893749998</v>
      </c>
      <c r="BV16" s="64">
        <f>BV8*Assumptions!$B$26*(1+Assumptions!$B$30)^(BV5-1)</f>
        <v>1665.4328893749998</v>
      </c>
      <c r="BW16" s="64">
        <f>BW8*Assumptions!$B$26*(1+Assumptions!$B$30)^(BW5-1)</f>
        <v>1665.4328893749998</v>
      </c>
      <c r="BX16" s="64">
        <f>BX8*Assumptions!$B$26*(1+Assumptions!$B$30)^(BX5-1)</f>
        <v>1707.0687116093745</v>
      </c>
      <c r="BY16" s="64">
        <f>BY8*Assumptions!$B$26*(1+Assumptions!$B$30)^(BY5-1)</f>
        <v>1707.0687116093745</v>
      </c>
      <c r="BZ16" s="64">
        <f>BZ8*Assumptions!$B$26*(1+Assumptions!$B$30)^(BZ5-1)</f>
        <v>1707.0687116093745</v>
      </c>
      <c r="CA16" s="64">
        <f>CA8*Assumptions!$B$26*(1+Assumptions!$B$30)^(CA5-1)</f>
        <v>1707.0687116093745</v>
      </c>
      <c r="CB16" s="64">
        <f>CB8*Assumptions!$B$26*(1+Assumptions!$B$30)^(CB5-1)</f>
        <v>1707.0687116093745</v>
      </c>
      <c r="CC16" s="64">
        <f>CC8*Assumptions!$B$26*(1+Assumptions!$B$30)^(CC5-1)</f>
        <v>1707.0687116093745</v>
      </c>
      <c r="CD16" s="64">
        <f>CD8*Assumptions!$B$26*(1+Assumptions!$B$30)^(CD5-1)</f>
        <v>1707.0687116093745</v>
      </c>
      <c r="CE16" s="64">
        <f>CE8*Assumptions!$B$26*(1+Assumptions!$B$30)^(CE5-1)</f>
        <v>1707.0687116093745</v>
      </c>
      <c r="CF16" s="64">
        <f>CF8*Assumptions!$B$26*(1+Assumptions!$B$30)^(CF5-1)</f>
        <v>1707.0687116093745</v>
      </c>
      <c r="CG16" s="64">
        <f>CG8*Assumptions!$B$26*(1+Assumptions!$B$30)^(CG5-1)</f>
        <v>1707.0687116093745</v>
      </c>
      <c r="CH16" s="64">
        <f>CH8*Assumptions!$B$26*(1+Assumptions!$B$30)^(CH5-1)</f>
        <v>1707.0687116093745</v>
      </c>
      <c r="CI16" s="64">
        <f>CI8*Assumptions!$B$26*(1+Assumptions!$B$30)^(CI5-1)</f>
        <v>1707.0687116093745</v>
      </c>
      <c r="CJ16" s="64">
        <f>CJ8*Assumptions!$B$26*(1+Assumptions!$B$30)^(CJ5-1)</f>
        <v>1749.7454293996091</v>
      </c>
      <c r="CK16" s="64">
        <f>CK8*Assumptions!$B$26*(1+Assumptions!$B$30)^(CK5-1)</f>
        <v>1749.7454293996091</v>
      </c>
      <c r="CL16" s="64">
        <f>CL8*Assumptions!$B$26*(1+Assumptions!$B$30)^(CL5-1)</f>
        <v>1749.7454293996091</v>
      </c>
      <c r="CM16" s="64">
        <f>CM8*Assumptions!$B$26*(1+Assumptions!$B$30)^(CM5-1)</f>
        <v>1749.7454293996091</v>
      </c>
      <c r="CN16" s="64">
        <f>CN8*Assumptions!$B$26*(1+Assumptions!$B$30)^(CN5-1)</f>
        <v>1749.7454293996091</v>
      </c>
      <c r="CO16" s="64">
        <f>CO8*Assumptions!$B$26*(1+Assumptions!$B$30)^(CO5-1)</f>
        <v>1749.7454293996091</v>
      </c>
      <c r="CP16" s="64">
        <f>CP8*Assumptions!$B$26*(1+Assumptions!$B$30)^(CP5-1)</f>
        <v>1749.7454293996091</v>
      </c>
      <c r="CQ16" s="64">
        <f>CQ8*Assumptions!$B$26*(1+Assumptions!$B$30)^(CQ5-1)</f>
        <v>1749.7454293996091</v>
      </c>
      <c r="CR16" s="64">
        <f>CR8*Assumptions!$B$26*(1+Assumptions!$B$30)^(CR5-1)</f>
        <v>1749.7454293996091</v>
      </c>
      <c r="CS16" s="64">
        <f>CS8*Assumptions!$B$26*(1+Assumptions!$B$30)^(CS5-1)</f>
        <v>1749.7454293996091</v>
      </c>
      <c r="CT16" s="64">
        <f>CT8*Assumptions!$B$26*(1+Assumptions!$B$30)^(CT5-1)</f>
        <v>1749.7454293996091</v>
      </c>
      <c r="CU16" s="64">
        <f>CU8*Assumptions!$B$26*(1+Assumptions!$B$30)^(CU5-1)</f>
        <v>1749.7454293996091</v>
      </c>
      <c r="CV16" s="64">
        <f>CV8*Assumptions!$B$26*(1+Assumptions!$B$30)^(CV5-1)</f>
        <v>1793.4890651345991</v>
      </c>
      <c r="CW16" s="64">
        <f>CW8*Assumptions!$B$26*(1+Assumptions!$B$30)^(CW5-1)</f>
        <v>1793.4890651345991</v>
      </c>
      <c r="CX16" s="64">
        <f>CX8*Assumptions!$B$26*(1+Assumptions!$B$30)^(CX5-1)</f>
        <v>1793.4890651345991</v>
      </c>
      <c r="CY16" s="64">
        <f>CY8*Assumptions!$B$26*(1+Assumptions!$B$30)^(CY5-1)</f>
        <v>1793.4890651345991</v>
      </c>
      <c r="CZ16" s="64">
        <f>CZ8*Assumptions!$B$26*(1+Assumptions!$B$30)^(CZ5-1)</f>
        <v>1793.4890651345991</v>
      </c>
      <c r="DA16" s="64">
        <f>DA8*Assumptions!$B$26*(1+Assumptions!$B$30)^(DA5-1)</f>
        <v>1793.4890651345991</v>
      </c>
      <c r="DB16" s="64">
        <f>DB8*Assumptions!$B$26*(1+Assumptions!$B$30)^(DB5-1)</f>
        <v>1793.4890651345991</v>
      </c>
      <c r="DC16" s="64">
        <f>DC8*Assumptions!$B$26*(1+Assumptions!$B$30)^(DC5-1)</f>
        <v>1793.4890651345991</v>
      </c>
      <c r="DD16" s="64">
        <f>DD8*Assumptions!$B$26*(1+Assumptions!$B$30)^(DD5-1)</f>
        <v>1793.4890651345991</v>
      </c>
      <c r="DE16" s="64">
        <f>DE8*Assumptions!$B$26*(1+Assumptions!$B$30)^(DE5-1)</f>
        <v>1793.4890651345991</v>
      </c>
      <c r="DF16" s="64">
        <f>DF8*Assumptions!$B$26*(1+Assumptions!$B$30)^(DF5-1)</f>
        <v>1793.4890651345991</v>
      </c>
      <c r="DG16" s="64">
        <f>DG8*Assumptions!$B$26*(1+Assumptions!$B$30)^(DG5-1)</f>
        <v>1793.4890651345991</v>
      </c>
      <c r="DH16" s="64">
        <f>DH8*Assumptions!$B$26*(1+Assumptions!$B$30)^(DH5-1)</f>
        <v>1838.3262917629638</v>
      </c>
      <c r="DI16" s="64">
        <f>DI8*Assumptions!$B$26*(1+Assumptions!$B$30)^(DI5-1)</f>
        <v>1838.3262917629638</v>
      </c>
      <c r="DJ16" s="64">
        <f>DJ8*Assumptions!$B$26*(1+Assumptions!$B$30)^(DJ5-1)</f>
        <v>1838.3262917629638</v>
      </c>
      <c r="DK16" s="64">
        <f>DK8*Assumptions!$B$26*(1+Assumptions!$B$30)^(DK5-1)</f>
        <v>1838.3262917629638</v>
      </c>
      <c r="DL16" s="64">
        <f>DL8*Assumptions!$B$26*(1+Assumptions!$B$30)^(DL5-1)</f>
        <v>1838.3262917629638</v>
      </c>
      <c r="DM16" s="64">
        <f>DM8*Assumptions!$B$26*(1+Assumptions!$B$30)^(DM5-1)</f>
        <v>1838.3262917629638</v>
      </c>
      <c r="DN16" s="64">
        <f>DN8*Assumptions!$B$26*(1+Assumptions!$B$30)^(DN5-1)</f>
        <v>1838.3262917629638</v>
      </c>
      <c r="DO16" s="64">
        <f>DO8*Assumptions!$B$26*(1+Assumptions!$B$30)^(DO5-1)</f>
        <v>1838.3262917629638</v>
      </c>
      <c r="DP16" s="64">
        <f>DP8*Assumptions!$B$26*(1+Assumptions!$B$30)^(DP5-1)</f>
        <v>1838.3262917629638</v>
      </c>
      <c r="DQ16" s="64">
        <f>DQ8*Assumptions!$B$26*(1+Assumptions!$B$30)^(DQ5-1)</f>
        <v>1838.3262917629638</v>
      </c>
      <c r="DR16" s="64">
        <f>DR8*Assumptions!$B$26*(1+Assumptions!$B$30)^(DR5-1)</f>
        <v>1838.3262917629638</v>
      </c>
      <c r="DS16" s="64">
        <f>DS8*Assumptions!$B$26*(1+Assumptions!$B$30)^(DS5-1)</f>
        <v>1838.3262917629638</v>
      </c>
    </row>
    <row r="17" spans="1:123" x14ac:dyDescent="0.25">
      <c r="A17" s="1" t="s">
        <v>270</v>
      </c>
      <c r="D17" s="64">
        <f>D8*Assumptions!$B$27*(1+Assumptions!$B$10)^(D5-1)</f>
        <v>911.33333333333326</v>
      </c>
      <c r="E17" s="64">
        <f>E8*Assumptions!$B$27*(1+Assumptions!$B$10)^(E5-1)</f>
        <v>922.66666666666674</v>
      </c>
      <c r="F17" s="64">
        <f>F8*Assumptions!$B$27*(1+Assumptions!$B$10)^(F5-1)</f>
        <v>934</v>
      </c>
      <c r="G17" s="64">
        <f>G8*Assumptions!$B$27*(1+Assumptions!$B$10)^(G5-1)</f>
        <v>945.33333333333337</v>
      </c>
      <c r="H17" s="64">
        <f>H8*Assumptions!$B$27*(1+Assumptions!$B$10)^(H5-1)</f>
        <v>956.66666666666663</v>
      </c>
      <c r="I17" s="64">
        <f>I8*Assumptions!$B$27*(1+Assumptions!$B$10)^(I5-1)</f>
        <v>968</v>
      </c>
      <c r="J17" s="64">
        <f>J8*Assumptions!$B$27*(1+Assumptions!$B$10)^(J5-1)</f>
        <v>979.33333333333337</v>
      </c>
      <c r="K17" s="64">
        <f>K8*Assumptions!$B$27*(1+Assumptions!$B$10)^(K5-1)</f>
        <v>990.66666666666674</v>
      </c>
      <c r="L17" s="64">
        <f>L8*Assumptions!$B$27*(1+Assumptions!$B$10)^(L5-1)</f>
        <v>1002.0000000000002</v>
      </c>
      <c r="M17" s="64">
        <f>M8*Assumptions!$B$27*(1+Assumptions!$B$10)^(M5-1)</f>
        <v>1013.3333333333334</v>
      </c>
      <c r="N17" s="64">
        <f>N8*Assumptions!$B$27*(1+Assumptions!$B$10)^(N5-1)</f>
        <v>1024.6666666666667</v>
      </c>
      <c r="O17" s="64">
        <f>O8*Assumptions!$B$27*(1+Assumptions!$B$10)^(O5-1)</f>
        <v>1036.0000000000002</v>
      </c>
      <c r="P17" s="64">
        <f>P8*Assumptions!$B$27*(1+Assumptions!$B$10)^(P5-1)</f>
        <v>1078.7533333333333</v>
      </c>
      <c r="Q17" s="64">
        <f>Q8*Assumptions!$B$27*(1+Assumptions!$B$10)^(Q5-1)</f>
        <v>1090.4266666666667</v>
      </c>
      <c r="R17" s="64">
        <f>R8*Assumptions!$B$27*(1+Assumptions!$B$10)^(R5-1)</f>
        <v>1102.1000000000004</v>
      </c>
      <c r="S17" s="64">
        <f>S8*Assumptions!$B$27*(1+Assumptions!$B$10)^(S5-1)</f>
        <v>1113.7733333333335</v>
      </c>
      <c r="T17" s="64">
        <f>T8*Assumptions!$B$27*(1+Assumptions!$B$10)^(T5-1)</f>
        <v>1125.4466666666667</v>
      </c>
      <c r="U17" s="64">
        <f>U8*Assumptions!$B$27*(1+Assumptions!$B$10)^(U5-1)</f>
        <v>1137.1200000000003</v>
      </c>
      <c r="V17" s="64">
        <f>V8*Assumptions!$B$27*(1+Assumptions!$B$10)^(V5-1)</f>
        <v>1137.1200000000003</v>
      </c>
      <c r="W17" s="64">
        <f>W8*Assumptions!$B$27*(1+Assumptions!$B$10)^(W5-1)</f>
        <v>1137.1200000000003</v>
      </c>
      <c r="X17" s="64">
        <f>X8*Assumptions!$B$27*(1+Assumptions!$B$10)^(X5-1)</f>
        <v>1137.1200000000003</v>
      </c>
      <c r="Y17" s="64">
        <f>Y8*Assumptions!$B$27*(1+Assumptions!$B$10)^(Y5-1)</f>
        <v>1137.1200000000003</v>
      </c>
      <c r="Z17" s="64">
        <f>Z8*Assumptions!$B$27*(1+Assumptions!$B$10)^(Z5-1)</f>
        <v>1137.1200000000003</v>
      </c>
      <c r="AA17" s="64">
        <f>AA8*Assumptions!$B$27*(1+Assumptions!$B$10)^(AA5-1)</f>
        <v>1137.1200000000003</v>
      </c>
      <c r="AB17" s="64">
        <f>AB8*Assumptions!$B$27*(1+Assumptions!$B$10)^(AB5-1)</f>
        <v>1171.2336000000003</v>
      </c>
      <c r="AC17" s="64">
        <f>AC8*Assumptions!$B$27*(1+Assumptions!$B$10)^(AC5-1)</f>
        <v>1171.2336000000003</v>
      </c>
      <c r="AD17" s="64">
        <f>AD8*Assumptions!$B$27*(1+Assumptions!$B$10)^(AD5-1)</f>
        <v>1171.2336000000003</v>
      </c>
      <c r="AE17" s="64">
        <f>AE8*Assumptions!$B$27*(1+Assumptions!$B$10)^(AE5-1)</f>
        <v>1171.2336000000003</v>
      </c>
      <c r="AF17" s="64">
        <f>AF8*Assumptions!$B$27*(1+Assumptions!$B$10)^(AF5-1)</f>
        <v>1171.2336000000003</v>
      </c>
      <c r="AG17" s="64">
        <f>AG8*Assumptions!$B$27*(1+Assumptions!$B$10)^(AG5-1)</f>
        <v>1171.2336000000003</v>
      </c>
      <c r="AH17" s="64">
        <f>AH8*Assumptions!$B$27*(1+Assumptions!$B$10)^(AH5-1)</f>
        <v>1171.2336000000003</v>
      </c>
      <c r="AI17" s="64">
        <f>AI8*Assumptions!$B$27*(1+Assumptions!$B$10)^(AI5-1)</f>
        <v>1171.2336000000003</v>
      </c>
      <c r="AJ17" s="64">
        <f>AJ8*Assumptions!$B$27*(1+Assumptions!$B$10)^(AJ5-1)</f>
        <v>1171.2336000000003</v>
      </c>
      <c r="AK17" s="64">
        <f>AK8*Assumptions!$B$27*(1+Assumptions!$B$10)^(AK5-1)</f>
        <v>1171.2336000000003</v>
      </c>
      <c r="AL17" s="64">
        <f>AL8*Assumptions!$B$27*(1+Assumptions!$B$10)^(AL5-1)</f>
        <v>1171.2336000000003</v>
      </c>
      <c r="AM17" s="64">
        <f>AM8*Assumptions!$B$27*(1+Assumptions!$B$10)^(AM5-1)</f>
        <v>1171.2336000000003</v>
      </c>
      <c r="AN17" s="64">
        <f>AN8*Assumptions!$B$27*(1+Assumptions!$B$10)^(AN5-1)</f>
        <v>1206.3706080000002</v>
      </c>
      <c r="AO17" s="64">
        <f>AO8*Assumptions!$B$27*(1+Assumptions!$B$10)^(AO5-1)</f>
        <v>1206.3706080000002</v>
      </c>
      <c r="AP17" s="64">
        <f>AP8*Assumptions!$B$27*(1+Assumptions!$B$10)^(AP5-1)</f>
        <v>1206.3706080000002</v>
      </c>
      <c r="AQ17" s="64">
        <f>AQ8*Assumptions!$B$27*(1+Assumptions!$B$10)^(AQ5-1)</f>
        <v>1206.3706080000002</v>
      </c>
      <c r="AR17" s="64">
        <f>AR8*Assumptions!$B$27*(1+Assumptions!$B$10)^(AR5-1)</f>
        <v>1206.3706080000002</v>
      </c>
      <c r="AS17" s="64">
        <f>AS8*Assumptions!$B$27*(1+Assumptions!$B$10)^(AS5-1)</f>
        <v>1206.3706080000002</v>
      </c>
      <c r="AT17" s="64">
        <f>AT8*Assumptions!$B$27*(1+Assumptions!$B$10)^(AT5-1)</f>
        <v>1206.3706080000002</v>
      </c>
      <c r="AU17" s="64">
        <f>AU8*Assumptions!$B$27*(1+Assumptions!$B$10)^(AU5-1)</f>
        <v>1206.3706080000002</v>
      </c>
      <c r="AV17" s="64">
        <f>AV8*Assumptions!$B$27*(1+Assumptions!$B$10)^(AV5-1)</f>
        <v>1206.3706080000002</v>
      </c>
      <c r="AW17" s="64">
        <f>AW8*Assumptions!$B$27*(1+Assumptions!$B$10)^(AW5-1)</f>
        <v>1206.3706080000002</v>
      </c>
      <c r="AX17" s="64">
        <f>AX8*Assumptions!$B$27*(1+Assumptions!$B$10)^(AX5-1)</f>
        <v>1206.3706080000002</v>
      </c>
      <c r="AY17" s="64">
        <f>AY8*Assumptions!$B$27*(1+Assumptions!$B$10)^(AY5-1)</f>
        <v>1206.3706080000002</v>
      </c>
      <c r="AZ17" s="64">
        <f>AZ8*Assumptions!$B$27*(1+Assumptions!$B$10)^(AZ5-1)</f>
        <v>1242.5617262400001</v>
      </c>
      <c r="BA17" s="64">
        <f>BA8*Assumptions!$B$27*(1+Assumptions!$B$10)^(BA5-1)</f>
        <v>1242.5617262400001</v>
      </c>
      <c r="BB17" s="64">
        <f>BB8*Assumptions!$B$27*(1+Assumptions!$B$10)^(BB5-1)</f>
        <v>1242.5617262400001</v>
      </c>
      <c r="BC17" s="64">
        <f>BC8*Assumptions!$B$27*(1+Assumptions!$B$10)^(BC5-1)</f>
        <v>1242.5617262400001</v>
      </c>
      <c r="BD17" s="64">
        <f>BD8*Assumptions!$B$27*(1+Assumptions!$B$10)^(BD5-1)</f>
        <v>1242.5617262400001</v>
      </c>
      <c r="BE17" s="64">
        <f>BE8*Assumptions!$B$27*(1+Assumptions!$B$10)^(BE5-1)</f>
        <v>1242.5617262400001</v>
      </c>
      <c r="BF17" s="64">
        <f>BF8*Assumptions!$B$27*(1+Assumptions!$B$10)^(BF5-1)</f>
        <v>1242.5617262400001</v>
      </c>
      <c r="BG17" s="64">
        <f>BG8*Assumptions!$B$27*(1+Assumptions!$B$10)^(BG5-1)</f>
        <v>1242.5617262400001</v>
      </c>
      <c r="BH17" s="64">
        <f>BH8*Assumptions!$B$27*(1+Assumptions!$B$10)^(BH5-1)</f>
        <v>1242.5617262400001</v>
      </c>
      <c r="BI17" s="64">
        <f>BI8*Assumptions!$B$27*(1+Assumptions!$B$10)^(BI5-1)</f>
        <v>1242.5617262400001</v>
      </c>
      <c r="BJ17" s="64">
        <f>BJ8*Assumptions!$B$27*(1+Assumptions!$B$10)^(BJ5-1)</f>
        <v>1242.5617262400001</v>
      </c>
      <c r="BK17" s="64">
        <f>BK8*Assumptions!$B$27*(1+Assumptions!$B$10)^(BK5-1)</f>
        <v>1242.5617262400001</v>
      </c>
      <c r="BL17" s="64">
        <f>BL8*Assumptions!$B$27*(1+Assumptions!$B$10)^(BL5-1)</f>
        <v>1279.8385780272001</v>
      </c>
      <c r="BM17" s="64">
        <f>BM8*Assumptions!$B$27*(1+Assumptions!$B$10)^(BM5-1)</f>
        <v>1279.8385780272001</v>
      </c>
      <c r="BN17" s="64">
        <f>BN8*Assumptions!$B$27*(1+Assumptions!$B$10)^(BN5-1)</f>
        <v>1279.8385780272001</v>
      </c>
      <c r="BO17" s="64">
        <f>BO8*Assumptions!$B$27*(1+Assumptions!$B$10)^(BO5-1)</f>
        <v>1279.8385780272001</v>
      </c>
      <c r="BP17" s="64">
        <f>BP8*Assumptions!$B$27*(1+Assumptions!$B$10)^(BP5-1)</f>
        <v>1279.8385780272001</v>
      </c>
      <c r="BQ17" s="64">
        <f>BQ8*Assumptions!$B$27*(1+Assumptions!$B$10)^(BQ5-1)</f>
        <v>1279.8385780272001</v>
      </c>
      <c r="BR17" s="64">
        <f>BR8*Assumptions!$B$27*(1+Assumptions!$B$10)^(BR5-1)</f>
        <v>1279.8385780272001</v>
      </c>
      <c r="BS17" s="64">
        <f>BS8*Assumptions!$B$27*(1+Assumptions!$B$10)^(BS5-1)</f>
        <v>1279.8385780272001</v>
      </c>
      <c r="BT17" s="64">
        <f>BT8*Assumptions!$B$27*(1+Assumptions!$B$10)^(BT5-1)</f>
        <v>1279.8385780272001</v>
      </c>
      <c r="BU17" s="64">
        <f>BU8*Assumptions!$B$27*(1+Assumptions!$B$10)^(BU5-1)</f>
        <v>1279.8385780272001</v>
      </c>
      <c r="BV17" s="64">
        <f>BV8*Assumptions!$B$27*(1+Assumptions!$B$10)^(BV5-1)</f>
        <v>1279.8385780272001</v>
      </c>
      <c r="BW17" s="64">
        <f>BW8*Assumptions!$B$27*(1+Assumptions!$B$10)^(BW5-1)</f>
        <v>1279.8385780272001</v>
      </c>
      <c r="BX17" s="64">
        <f>BX8*Assumptions!$B$27*(1+Assumptions!$B$10)^(BX5-1)</f>
        <v>1318.2337353680161</v>
      </c>
      <c r="BY17" s="64">
        <f>BY8*Assumptions!$B$27*(1+Assumptions!$B$10)^(BY5-1)</f>
        <v>1318.2337353680161</v>
      </c>
      <c r="BZ17" s="64">
        <f>BZ8*Assumptions!$B$27*(1+Assumptions!$B$10)^(BZ5-1)</f>
        <v>1318.2337353680161</v>
      </c>
      <c r="CA17" s="64">
        <f>CA8*Assumptions!$B$27*(1+Assumptions!$B$10)^(CA5-1)</f>
        <v>1318.2337353680161</v>
      </c>
      <c r="CB17" s="64">
        <f>CB8*Assumptions!$B$27*(1+Assumptions!$B$10)^(CB5-1)</f>
        <v>1318.2337353680161</v>
      </c>
      <c r="CC17" s="64">
        <f>CC8*Assumptions!$B$27*(1+Assumptions!$B$10)^(CC5-1)</f>
        <v>1318.2337353680161</v>
      </c>
      <c r="CD17" s="64">
        <f>CD8*Assumptions!$B$27*(1+Assumptions!$B$10)^(CD5-1)</f>
        <v>1318.2337353680161</v>
      </c>
      <c r="CE17" s="64">
        <f>CE8*Assumptions!$B$27*(1+Assumptions!$B$10)^(CE5-1)</f>
        <v>1318.2337353680161</v>
      </c>
      <c r="CF17" s="64">
        <f>CF8*Assumptions!$B$27*(1+Assumptions!$B$10)^(CF5-1)</f>
        <v>1318.2337353680161</v>
      </c>
      <c r="CG17" s="64">
        <f>CG8*Assumptions!$B$27*(1+Assumptions!$B$10)^(CG5-1)</f>
        <v>1318.2337353680161</v>
      </c>
      <c r="CH17" s="64">
        <f>CH8*Assumptions!$B$27*(1+Assumptions!$B$10)^(CH5-1)</f>
        <v>1318.2337353680161</v>
      </c>
      <c r="CI17" s="64">
        <f>CI8*Assumptions!$B$27*(1+Assumptions!$B$10)^(CI5-1)</f>
        <v>1318.2337353680161</v>
      </c>
      <c r="CJ17" s="64">
        <f>CJ8*Assumptions!$B$27*(1+Assumptions!$B$10)^(CJ5-1)</f>
        <v>1357.7807474290566</v>
      </c>
      <c r="CK17" s="64">
        <f>CK8*Assumptions!$B$27*(1+Assumptions!$B$10)^(CK5-1)</f>
        <v>1357.7807474290566</v>
      </c>
      <c r="CL17" s="64">
        <f>CL8*Assumptions!$B$27*(1+Assumptions!$B$10)^(CL5-1)</f>
        <v>1357.7807474290566</v>
      </c>
      <c r="CM17" s="64">
        <f>CM8*Assumptions!$B$27*(1+Assumptions!$B$10)^(CM5-1)</f>
        <v>1357.7807474290566</v>
      </c>
      <c r="CN17" s="64">
        <f>CN8*Assumptions!$B$27*(1+Assumptions!$B$10)^(CN5-1)</f>
        <v>1357.7807474290566</v>
      </c>
      <c r="CO17" s="64">
        <f>CO8*Assumptions!$B$27*(1+Assumptions!$B$10)^(CO5-1)</f>
        <v>1357.7807474290566</v>
      </c>
      <c r="CP17" s="64">
        <f>CP8*Assumptions!$B$27*(1+Assumptions!$B$10)^(CP5-1)</f>
        <v>1357.7807474290566</v>
      </c>
      <c r="CQ17" s="64">
        <f>CQ8*Assumptions!$B$27*(1+Assumptions!$B$10)^(CQ5-1)</f>
        <v>1357.7807474290566</v>
      </c>
      <c r="CR17" s="64">
        <f>CR8*Assumptions!$B$27*(1+Assumptions!$B$10)^(CR5-1)</f>
        <v>1357.7807474290566</v>
      </c>
      <c r="CS17" s="64">
        <f>CS8*Assumptions!$B$27*(1+Assumptions!$B$10)^(CS5-1)</f>
        <v>1357.7807474290566</v>
      </c>
      <c r="CT17" s="64">
        <f>CT8*Assumptions!$B$27*(1+Assumptions!$B$10)^(CT5-1)</f>
        <v>1357.7807474290566</v>
      </c>
      <c r="CU17" s="64">
        <f>CU8*Assumptions!$B$27*(1+Assumptions!$B$10)^(CU5-1)</f>
        <v>1357.7807474290566</v>
      </c>
      <c r="CV17" s="64">
        <f>CV8*Assumptions!$B$27*(1+Assumptions!$B$10)^(CV5-1)</f>
        <v>1398.5141698519283</v>
      </c>
      <c r="CW17" s="64">
        <f>CW8*Assumptions!$B$27*(1+Assumptions!$B$10)^(CW5-1)</f>
        <v>1398.5141698519283</v>
      </c>
      <c r="CX17" s="64">
        <f>CX8*Assumptions!$B$27*(1+Assumptions!$B$10)^(CX5-1)</f>
        <v>1398.5141698519283</v>
      </c>
      <c r="CY17" s="64">
        <f>CY8*Assumptions!$B$27*(1+Assumptions!$B$10)^(CY5-1)</f>
        <v>1398.5141698519283</v>
      </c>
      <c r="CZ17" s="64">
        <f>CZ8*Assumptions!$B$27*(1+Assumptions!$B$10)^(CZ5-1)</f>
        <v>1398.5141698519283</v>
      </c>
      <c r="DA17" s="64">
        <f>DA8*Assumptions!$B$27*(1+Assumptions!$B$10)^(DA5-1)</f>
        <v>1398.5141698519283</v>
      </c>
      <c r="DB17" s="64">
        <f>DB8*Assumptions!$B$27*(1+Assumptions!$B$10)^(DB5-1)</f>
        <v>1398.5141698519283</v>
      </c>
      <c r="DC17" s="64">
        <f>DC8*Assumptions!$B$27*(1+Assumptions!$B$10)^(DC5-1)</f>
        <v>1398.5141698519283</v>
      </c>
      <c r="DD17" s="64">
        <f>DD8*Assumptions!$B$27*(1+Assumptions!$B$10)^(DD5-1)</f>
        <v>1398.5141698519283</v>
      </c>
      <c r="DE17" s="64">
        <f>DE8*Assumptions!$B$27*(1+Assumptions!$B$10)^(DE5-1)</f>
        <v>1398.5141698519283</v>
      </c>
      <c r="DF17" s="64">
        <f>DF8*Assumptions!$B$27*(1+Assumptions!$B$10)^(DF5-1)</f>
        <v>1398.5141698519283</v>
      </c>
      <c r="DG17" s="64">
        <f>DG8*Assumptions!$B$27*(1+Assumptions!$B$10)^(DG5-1)</f>
        <v>1398.5141698519283</v>
      </c>
      <c r="DH17" s="64">
        <f>DH8*Assumptions!$B$27*(1+Assumptions!$B$10)^(DH5-1)</f>
        <v>1440.4695949474863</v>
      </c>
      <c r="DI17" s="64">
        <f>DI8*Assumptions!$B$27*(1+Assumptions!$B$10)^(DI5-1)</f>
        <v>1440.4695949474863</v>
      </c>
      <c r="DJ17" s="64">
        <f>DJ8*Assumptions!$B$27*(1+Assumptions!$B$10)^(DJ5-1)</f>
        <v>1440.4695949474863</v>
      </c>
      <c r="DK17" s="64">
        <f>DK8*Assumptions!$B$27*(1+Assumptions!$B$10)^(DK5-1)</f>
        <v>1440.4695949474863</v>
      </c>
      <c r="DL17" s="64">
        <f>DL8*Assumptions!$B$27*(1+Assumptions!$B$10)^(DL5-1)</f>
        <v>1440.4695949474863</v>
      </c>
      <c r="DM17" s="64">
        <f>DM8*Assumptions!$B$27*(1+Assumptions!$B$10)^(DM5-1)</f>
        <v>1440.4695949474863</v>
      </c>
      <c r="DN17" s="64">
        <f>DN8*Assumptions!$B$27*(1+Assumptions!$B$10)^(DN5-1)</f>
        <v>1440.4695949474863</v>
      </c>
      <c r="DO17" s="64">
        <f>DO8*Assumptions!$B$27*(1+Assumptions!$B$10)^(DO5-1)</f>
        <v>1440.4695949474863</v>
      </c>
      <c r="DP17" s="64">
        <f>DP8*Assumptions!$B$27*(1+Assumptions!$B$10)^(DP5-1)</f>
        <v>1440.4695949474863</v>
      </c>
      <c r="DQ17" s="64">
        <f>DQ8*Assumptions!$B$27*(1+Assumptions!$B$10)^(DQ5-1)</f>
        <v>1440.4695949474863</v>
      </c>
      <c r="DR17" s="64">
        <f>DR8*Assumptions!$B$27*(1+Assumptions!$B$10)^(DR5-1)</f>
        <v>1440.4695949474863</v>
      </c>
      <c r="DS17" s="64">
        <f>DS8*Assumptions!$B$27*(1+Assumptions!$B$10)^(DS5-1)</f>
        <v>1440.4695949474863</v>
      </c>
    </row>
    <row r="18" spans="1:123" x14ac:dyDescent="0.25">
      <c r="A18" s="52" t="s">
        <v>271</v>
      </c>
      <c r="D18" s="65">
        <f>SUM(D14:D17)</f>
        <v>25978.244444444441</v>
      </c>
      <c r="E18" s="65">
        <f t="shared" ref="E18:AI18" si="8">SUM(E14:E17)</f>
        <v>26266.488888888893</v>
      </c>
      <c r="F18" s="65">
        <f t="shared" si="8"/>
        <v>26554.73333333333</v>
      </c>
      <c r="G18" s="65">
        <f t="shared" si="8"/>
        <v>26842.977777777782</v>
      </c>
      <c r="H18" s="65">
        <f t="shared" si="8"/>
        <v>27131.222222222223</v>
      </c>
      <c r="I18" s="65">
        <f t="shared" si="8"/>
        <v>27419.466666666667</v>
      </c>
      <c r="J18" s="65">
        <f t="shared" si="8"/>
        <v>27707.711111111112</v>
      </c>
      <c r="K18" s="65">
        <f t="shared" si="8"/>
        <v>27995.95555555556</v>
      </c>
      <c r="L18" s="65">
        <f t="shared" si="8"/>
        <v>28284.200000000004</v>
      </c>
      <c r="M18" s="65">
        <f t="shared" si="8"/>
        <v>28572.444444444442</v>
      </c>
      <c r="N18" s="65">
        <f t="shared" si="8"/>
        <v>28860.688888888893</v>
      </c>
      <c r="O18" s="65">
        <f t="shared" si="8"/>
        <v>29148.933333333334</v>
      </c>
      <c r="P18" s="65">
        <f t="shared" si="8"/>
        <v>30313.310888888889</v>
      </c>
      <c r="Q18" s="65">
        <f t="shared" si="8"/>
        <v>30610.127111111113</v>
      </c>
      <c r="R18" s="65">
        <f t="shared" si="8"/>
        <v>30906.943333333336</v>
      </c>
      <c r="S18" s="65">
        <f t="shared" si="8"/>
        <v>31203.759555555564</v>
      </c>
      <c r="T18" s="65">
        <f t="shared" si="8"/>
        <v>31500.575777777776</v>
      </c>
      <c r="U18" s="65">
        <f t="shared" si="8"/>
        <v>31797.392</v>
      </c>
      <c r="V18" s="65">
        <f t="shared" si="8"/>
        <v>31797.392</v>
      </c>
      <c r="W18" s="65">
        <f t="shared" si="8"/>
        <v>31797.392</v>
      </c>
      <c r="X18" s="65">
        <f t="shared" si="8"/>
        <v>31797.392</v>
      </c>
      <c r="Y18" s="65">
        <f t="shared" si="8"/>
        <v>31797.392</v>
      </c>
      <c r="Z18" s="65">
        <f t="shared" si="8"/>
        <v>31797.392</v>
      </c>
      <c r="AA18" s="65">
        <f t="shared" si="8"/>
        <v>31797.392</v>
      </c>
      <c r="AB18" s="65">
        <f t="shared" si="8"/>
        <v>32743.769760000003</v>
      </c>
      <c r="AC18" s="65">
        <f t="shared" si="8"/>
        <v>32743.769760000003</v>
      </c>
      <c r="AD18" s="65">
        <f t="shared" si="8"/>
        <v>32743.769760000003</v>
      </c>
      <c r="AE18" s="65">
        <f t="shared" si="8"/>
        <v>32743.769760000003</v>
      </c>
      <c r="AF18" s="65">
        <f t="shared" si="8"/>
        <v>32743.769760000003</v>
      </c>
      <c r="AG18" s="65">
        <f t="shared" si="8"/>
        <v>32743.769760000003</v>
      </c>
      <c r="AH18" s="65">
        <f t="shared" si="8"/>
        <v>32743.769760000003</v>
      </c>
      <c r="AI18" s="65">
        <f t="shared" si="8"/>
        <v>32743.769760000003</v>
      </c>
      <c r="AJ18" s="65">
        <f t="shared" ref="AJ18:BO18" si="9">SUM(AJ14:AJ17)</f>
        <v>32743.769760000003</v>
      </c>
      <c r="AK18" s="65">
        <f t="shared" si="9"/>
        <v>32743.769760000003</v>
      </c>
      <c r="AL18" s="65">
        <f t="shared" si="9"/>
        <v>32743.769760000003</v>
      </c>
      <c r="AM18" s="65">
        <f t="shared" si="9"/>
        <v>32743.769760000003</v>
      </c>
      <c r="AN18" s="65">
        <f t="shared" si="9"/>
        <v>33718.350252800003</v>
      </c>
      <c r="AO18" s="65">
        <f t="shared" si="9"/>
        <v>33718.350252800003</v>
      </c>
      <c r="AP18" s="65">
        <f t="shared" si="9"/>
        <v>33718.350252800003</v>
      </c>
      <c r="AQ18" s="65">
        <f t="shared" si="9"/>
        <v>33718.350252800003</v>
      </c>
      <c r="AR18" s="65">
        <f t="shared" si="9"/>
        <v>33718.350252800003</v>
      </c>
      <c r="AS18" s="65">
        <f t="shared" si="9"/>
        <v>33718.350252800003</v>
      </c>
      <c r="AT18" s="65">
        <f t="shared" si="9"/>
        <v>33718.350252800003</v>
      </c>
      <c r="AU18" s="65">
        <f t="shared" si="9"/>
        <v>33718.350252800003</v>
      </c>
      <c r="AV18" s="65">
        <f t="shared" si="9"/>
        <v>33718.350252800003</v>
      </c>
      <c r="AW18" s="65">
        <f t="shared" si="9"/>
        <v>33718.350252800003</v>
      </c>
      <c r="AX18" s="65">
        <f t="shared" si="9"/>
        <v>33718.350252800003</v>
      </c>
      <c r="AY18" s="65">
        <f t="shared" si="9"/>
        <v>33718.350252800003</v>
      </c>
      <c r="AZ18" s="65">
        <f t="shared" si="9"/>
        <v>34721.974845383993</v>
      </c>
      <c r="BA18" s="65">
        <f t="shared" si="9"/>
        <v>34721.974845383993</v>
      </c>
      <c r="BB18" s="65">
        <f t="shared" si="9"/>
        <v>34721.974845383993</v>
      </c>
      <c r="BC18" s="65">
        <f t="shared" si="9"/>
        <v>34721.974845383993</v>
      </c>
      <c r="BD18" s="65">
        <f t="shared" si="9"/>
        <v>34721.974845383993</v>
      </c>
      <c r="BE18" s="65">
        <f t="shared" si="9"/>
        <v>34721.974845383993</v>
      </c>
      <c r="BF18" s="65">
        <f t="shared" si="9"/>
        <v>34721.974845383993</v>
      </c>
      <c r="BG18" s="65">
        <f t="shared" si="9"/>
        <v>34721.974845383993</v>
      </c>
      <c r="BH18" s="65">
        <f t="shared" si="9"/>
        <v>34721.974845383993</v>
      </c>
      <c r="BI18" s="65">
        <f t="shared" si="9"/>
        <v>34721.974845383993</v>
      </c>
      <c r="BJ18" s="65">
        <f t="shared" si="9"/>
        <v>34721.974845383993</v>
      </c>
      <c r="BK18" s="65">
        <f t="shared" si="9"/>
        <v>34721.974845383993</v>
      </c>
      <c r="BL18" s="65">
        <f t="shared" si="9"/>
        <v>35755.510027870514</v>
      </c>
      <c r="BM18" s="65">
        <f t="shared" si="9"/>
        <v>35755.510027870514</v>
      </c>
      <c r="BN18" s="65">
        <f t="shared" si="9"/>
        <v>35755.510027870514</v>
      </c>
      <c r="BO18" s="65">
        <f t="shared" si="9"/>
        <v>35755.510027870514</v>
      </c>
      <c r="BP18" s="65">
        <f t="shared" ref="BP18:CU18" si="10">SUM(BP14:BP17)</f>
        <v>35755.510027870514</v>
      </c>
      <c r="BQ18" s="65">
        <f t="shared" si="10"/>
        <v>35755.510027870514</v>
      </c>
      <c r="BR18" s="65">
        <f t="shared" si="10"/>
        <v>35755.510027870514</v>
      </c>
      <c r="BS18" s="65">
        <f t="shared" si="10"/>
        <v>35755.510027870514</v>
      </c>
      <c r="BT18" s="65">
        <f t="shared" si="10"/>
        <v>35755.510027870514</v>
      </c>
      <c r="BU18" s="65">
        <f t="shared" si="10"/>
        <v>35755.510027870514</v>
      </c>
      <c r="BV18" s="65">
        <f t="shared" si="10"/>
        <v>35755.510027870514</v>
      </c>
      <c r="BW18" s="65">
        <f t="shared" si="10"/>
        <v>35755.510027870514</v>
      </c>
      <c r="BX18" s="65">
        <f t="shared" si="10"/>
        <v>36819.848164259769</v>
      </c>
      <c r="BY18" s="65">
        <f t="shared" si="10"/>
        <v>36819.848164259769</v>
      </c>
      <c r="BZ18" s="65">
        <f t="shared" si="10"/>
        <v>36819.848164259769</v>
      </c>
      <c r="CA18" s="65">
        <f t="shared" si="10"/>
        <v>36819.848164259769</v>
      </c>
      <c r="CB18" s="65">
        <f t="shared" si="10"/>
        <v>36819.848164259769</v>
      </c>
      <c r="CC18" s="65">
        <f t="shared" si="10"/>
        <v>36819.848164259769</v>
      </c>
      <c r="CD18" s="65">
        <f t="shared" si="10"/>
        <v>36819.848164259769</v>
      </c>
      <c r="CE18" s="65">
        <f t="shared" si="10"/>
        <v>36819.848164259769</v>
      </c>
      <c r="CF18" s="65">
        <f t="shared" si="10"/>
        <v>36819.848164259769</v>
      </c>
      <c r="CG18" s="65">
        <f t="shared" si="10"/>
        <v>36819.848164259769</v>
      </c>
      <c r="CH18" s="65">
        <f t="shared" si="10"/>
        <v>36819.848164259769</v>
      </c>
      <c r="CI18" s="65">
        <f t="shared" si="10"/>
        <v>36819.848164259769</v>
      </c>
      <c r="CJ18" s="65">
        <f t="shared" si="10"/>
        <v>37915.908265629521</v>
      </c>
      <c r="CK18" s="65">
        <f t="shared" si="10"/>
        <v>37915.908265629521</v>
      </c>
      <c r="CL18" s="65">
        <f t="shared" si="10"/>
        <v>37915.908265629521</v>
      </c>
      <c r="CM18" s="65">
        <f t="shared" si="10"/>
        <v>37915.908265629521</v>
      </c>
      <c r="CN18" s="65">
        <f t="shared" si="10"/>
        <v>37915.908265629521</v>
      </c>
      <c r="CO18" s="65">
        <f t="shared" si="10"/>
        <v>37915.908265629521</v>
      </c>
      <c r="CP18" s="65">
        <f t="shared" si="10"/>
        <v>37915.908265629521</v>
      </c>
      <c r="CQ18" s="65">
        <f t="shared" si="10"/>
        <v>37915.908265629521</v>
      </c>
      <c r="CR18" s="65">
        <f t="shared" si="10"/>
        <v>37915.908265629521</v>
      </c>
      <c r="CS18" s="65">
        <f t="shared" si="10"/>
        <v>37915.908265629521</v>
      </c>
      <c r="CT18" s="65">
        <f t="shared" si="10"/>
        <v>37915.908265629521</v>
      </c>
      <c r="CU18" s="65">
        <f t="shared" si="10"/>
        <v>37915.908265629521</v>
      </c>
      <c r="CV18" s="65">
        <f t="shared" ref="CV18:DS18" si="11">SUM(CV14:CV17)</f>
        <v>39044.636786451396</v>
      </c>
      <c r="CW18" s="65">
        <f t="shared" si="11"/>
        <v>39044.636786451396</v>
      </c>
      <c r="CX18" s="65">
        <f t="shared" si="11"/>
        <v>39044.636786451396</v>
      </c>
      <c r="CY18" s="65">
        <f t="shared" si="11"/>
        <v>39044.636786451396</v>
      </c>
      <c r="CZ18" s="65">
        <f t="shared" si="11"/>
        <v>39044.636786451396</v>
      </c>
      <c r="DA18" s="65">
        <f t="shared" si="11"/>
        <v>39044.636786451396</v>
      </c>
      <c r="DB18" s="65">
        <f t="shared" si="11"/>
        <v>39044.636786451396</v>
      </c>
      <c r="DC18" s="65">
        <f t="shared" si="11"/>
        <v>39044.636786451396</v>
      </c>
      <c r="DD18" s="65">
        <f t="shared" si="11"/>
        <v>39044.636786451396</v>
      </c>
      <c r="DE18" s="65">
        <f t="shared" si="11"/>
        <v>39044.636786451396</v>
      </c>
      <c r="DF18" s="65">
        <f t="shared" si="11"/>
        <v>39044.636786451396</v>
      </c>
      <c r="DG18" s="65">
        <f t="shared" si="11"/>
        <v>39044.636786451396</v>
      </c>
      <c r="DH18" s="65">
        <f t="shared" si="11"/>
        <v>40207.008444719257</v>
      </c>
      <c r="DI18" s="65">
        <f t="shared" si="11"/>
        <v>40207.008444719257</v>
      </c>
      <c r="DJ18" s="65">
        <f t="shared" si="11"/>
        <v>40207.008444719257</v>
      </c>
      <c r="DK18" s="65">
        <f t="shared" si="11"/>
        <v>40207.008444719257</v>
      </c>
      <c r="DL18" s="65">
        <f t="shared" si="11"/>
        <v>40207.008444719257</v>
      </c>
      <c r="DM18" s="65">
        <f t="shared" si="11"/>
        <v>40207.008444719257</v>
      </c>
      <c r="DN18" s="65">
        <f t="shared" si="11"/>
        <v>40207.008444719257</v>
      </c>
      <c r="DO18" s="65">
        <f t="shared" si="11"/>
        <v>40207.008444719257</v>
      </c>
      <c r="DP18" s="65">
        <f t="shared" si="11"/>
        <v>40207.008444719257</v>
      </c>
      <c r="DQ18" s="65">
        <f t="shared" si="11"/>
        <v>40207.008444719257</v>
      </c>
      <c r="DR18" s="65">
        <f t="shared" si="11"/>
        <v>40207.008444719257</v>
      </c>
      <c r="DS18" s="65">
        <f t="shared" si="11"/>
        <v>40207.008444719257</v>
      </c>
    </row>
    <row r="19" spans="1:123" x14ac:dyDescent="0.25">
      <c r="A19" s="66" t="s">
        <v>298</v>
      </c>
    </row>
    <row r="20" spans="1:123" x14ac:dyDescent="0.25">
      <c r="A20" s="1" t="s">
        <v>85</v>
      </c>
      <c r="D20" s="64">
        <f>-Assumptions!$B$32/12*(1+Assumptions!$B$11)^(D5-1)</f>
        <v>-3750</v>
      </c>
      <c r="E20" s="64">
        <f>-Assumptions!$B$32/12*(1+Assumptions!$B$11)^(E5-1)</f>
        <v>-3750</v>
      </c>
      <c r="F20" s="64">
        <f>-Assumptions!$B$32/12*(1+Assumptions!$B$11)^(F5-1)</f>
        <v>-3750</v>
      </c>
      <c r="G20" s="64">
        <f>-Assumptions!$B$32/12*(1+Assumptions!$B$11)^(G5-1)</f>
        <v>-3750</v>
      </c>
      <c r="H20" s="64">
        <f>-Assumptions!$B$32/12*(1+Assumptions!$B$11)^(H5-1)</f>
        <v>-3750</v>
      </c>
      <c r="I20" s="64">
        <f>-Assumptions!$B$32/12*(1+Assumptions!$B$11)^(I5-1)</f>
        <v>-3750</v>
      </c>
      <c r="J20" s="64">
        <f>-Assumptions!$B$32/12*(1+Assumptions!$B$11)^(J5-1)</f>
        <v>-3750</v>
      </c>
      <c r="K20" s="64">
        <f>-Assumptions!$B$32/12*(1+Assumptions!$B$11)^(K5-1)</f>
        <v>-3750</v>
      </c>
      <c r="L20" s="64">
        <f>-Assumptions!$B$32/12*(1+Assumptions!$B$11)^(L5-1)</f>
        <v>-3750</v>
      </c>
      <c r="M20" s="64">
        <f>-Assumptions!$B$32/12*(1+Assumptions!$B$11)^(M5-1)</f>
        <v>-3750</v>
      </c>
      <c r="N20" s="64">
        <f>-Assumptions!$B$32/12*(1+Assumptions!$B$11)^(N5-1)</f>
        <v>-3750</v>
      </c>
      <c r="O20" s="64">
        <f>-Assumptions!$B$32/12*(1+Assumptions!$B$11)^(O5-1)</f>
        <v>-3750</v>
      </c>
      <c r="P20" s="64">
        <f>-Assumptions!$B$32/12*(1+Assumptions!$B$11)^(P5-1)</f>
        <v>-3843.7499999999995</v>
      </c>
      <c r="Q20" s="64">
        <f>-Assumptions!$B$32/12*(1+Assumptions!$B$11)^(Q5-1)</f>
        <v>-3843.7499999999995</v>
      </c>
      <c r="R20" s="64">
        <f>-Assumptions!$B$32/12*(1+Assumptions!$B$11)^(R5-1)</f>
        <v>-3843.7499999999995</v>
      </c>
      <c r="S20" s="64">
        <f>-Assumptions!$B$32/12*(1+Assumptions!$B$11)^(S5-1)</f>
        <v>-3843.7499999999995</v>
      </c>
      <c r="T20" s="64">
        <f>-Assumptions!$B$32/12*(1+Assumptions!$B$11)^(T5-1)</f>
        <v>-3843.7499999999995</v>
      </c>
      <c r="U20" s="64">
        <f>-Assumptions!$B$32/12*(1+Assumptions!$B$11)^(U5-1)</f>
        <v>-3843.7499999999995</v>
      </c>
      <c r="V20" s="64">
        <f>-Assumptions!$B$32/12*(1+Assumptions!$B$11)^(V5-1)</f>
        <v>-3843.7499999999995</v>
      </c>
      <c r="W20" s="64">
        <f>-Assumptions!$B$32/12*(1+Assumptions!$B$11)^(W5-1)</f>
        <v>-3843.7499999999995</v>
      </c>
      <c r="X20" s="64">
        <f>-Assumptions!$B$32/12*(1+Assumptions!$B$11)^(X5-1)</f>
        <v>-3843.7499999999995</v>
      </c>
      <c r="Y20" s="64">
        <f>-Assumptions!$B$32/12*(1+Assumptions!$B$11)^(Y5-1)</f>
        <v>-3843.7499999999995</v>
      </c>
      <c r="Z20" s="64">
        <f>-Assumptions!$B$32/12*(1+Assumptions!$B$11)^(Z5-1)</f>
        <v>-3843.7499999999995</v>
      </c>
      <c r="AA20" s="64">
        <f>-Assumptions!$B$32/12*(1+Assumptions!$B$11)^(AA5-1)</f>
        <v>-3843.7499999999995</v>
      </c>
      <c r="AB20" s="64">
        <f>-Assumptions!$B$32/12*(1+Assumptions!$B$11)^(AB5-1)</f>
        <v>-3939.8437499999995</v>
      </c>
      <c r="AC20" s="64">
        <f>-Assumptions!$B$32/12*(1+Assumptions!$B$11)^(AC5-1)</f>
        <v>-3939.8437499999995</v>
      </c>
      <c r="AD20" s="64">
        <f>-Assumptions!$B$32/12*(1+Assumptions!$B$11)^(AD5-1)</f>
        <v>-3939.8437499999995</v>
      </c>
      <c r="AE20" s="64">
        <f>-Assumptions!$B$32/12*(1+Assumptions!$B$11)^(AE5-1)</f>
        <v>-3939.8437499999995</v>
      </c>
      <c r="AF20" s="64">
        <f>-Assumptions!$B$32/12*(1+Assumptions!$B$11)^(AF5-1)</f>
        <v>-3939.8437499999995</v>
      </c>
      <c r="AG20" s="64">
        <f>-Assumptions!$B$32/12*(1+Assumptions!$B$11)^(AG5-1)</f>
        <v>-3939.8437499999995</v>
      </c>
      <c r="AH20" s="64">
        <f>-Assumptions!$B$32/12*(1+Assumptions!$B$11)^(AH5-1)</f>
        <v>-3939.8437499999995</v>
      </c>
      <c r="AI20" s="64">
        <f>-Assumptions!$B$32/12*(1+Assumptions!$B$11)^(AI5-1)</f>
        <v>-3939.8437499999995</v>
      </c>
      <c r="AJ20" s="64">
        <f>-Assumptions!$B$32/12*(1+Assumptions!$B$11)^(AJ5-1)</f>
        <v>-3939.8437499999995</v>
      </c>
      <c r="AK20" s="64">
        <f>-Assumptions!$B$32/12*(1+Assumptions!$B$11)^(AK5-1)</f>
        <v>-3939.8437499999995</v>
      </c>
      <c r="AL20" s="64">
        <f>-Assumptions!$B$32/12*(1+Assumptions!$B$11)^(AL5-1)</f>
        <v>-3939.8437499999995</v>
      </c>
      <c r="AM20" s="64">
        <f>-Assumptions!$B$32/12*(1+Assumptions!$B$11)^(AM5-1)</f>
        <v>-3939.8437499999995</v>
      </c>
      <c r="AN20" s="64">
        <f>-Assumptions!$B$32/12*(1+Assumptions!$B$11)^(AN5-1)</f>
        <v>-4038.3398437499995</v>
      </c>
      <c r="AO20" s="64">
        <f>-Assumptions!$B$32/12*(1+Assumptions!$B$11)^(AO5-1)</f>
        <v>-4038.3398437499995</v>
      </c>
      <c r="AP20" s="64">
        <f>-Assumptions!$B$32/12*(1+Assumptions!$B$11)^(AP5-1)</f>
        <v>-4038.3398437499995</v>
      </c>
      <c r="AQ20" s="64">
        <f>-Assumptions!$B$32/12*(1+Assumptions!$B$11)^(AQ5-1)</f>
        <v>-4038.3398437499995</v>
      </c>
      <c r="AR20" s="64">
        <f>-Assumptions!$B$32/12*(1+Assumptions!$B$11)^(AR5-1)</f>
        <v>-4038.3398437499995</v>
      </c>
      <c r="AS20" s="64">
        <f>-Assumptions!$B$32/12*(1+Assumptions!$B$11)^(AS5-1)</f>
        <v>-4038.3398437499995</v>
      </c>
      <c r="AT20" s="64">
        <f>-Assumptions!$B$32/12*(1+Assumptions!$B$11)^(AT5-1)</f>
        <v>-4038.3398437499995</v>
      </c>
      <c r="AU20" s="64">
        <f>-Assumptions!$B$32/12*(1+Assumptions!$B$11)^(AU5-1)</f>
        <v>-4038.3398437499995</v>
      </c>
      <c r="AV20" s="64">
        <f>-Assumptions!$B$32/12*(1+Assumptions!$B$11)^(AV5-1)</f>
        <v>-4038.3398437499995</v>
      </c>
      <c r="AW20" s="64">
        <f>-Assumptions!$B$32/12*(1+Assumptions!$B$11)^(AW5-1)</f>
        <v>-4038.3398437499995</v>
      </c>
      <c r="AX20" s="64">
        <f>-Assumptions!$B$32/12*(1+Assumptions!$B$11)^(AX5-1)</f>
        <v>-4038.3398437499995</v>
      </c>
      <c r="AY20" s="64">
        <f>-Assumptions!$B$32/12*(1+Assumptions!$B$11)^(AY5-1)</f>
        <v>-4038.3398437499995</v>
      </c>
      <c r="AZ20" s="64">
        <f>-Assumptions!$B$32/12*(1+Assumptions!$B$11)^(AZ5-1)</f>
        <v>-4139.2983398437491</v>
      </c>
      <c r="BA20" s="64">
        <f>-Assumptions!$B$32/12*(1+Assumptions!$B$11)^(BA5-1)</f>
        <v>-4139.2983398437491</v>
      </c>
      <c r="BB20" s="64">
        <f>-Assumptions!$B$32/12*(1+Assumptions!$B$11)^(BB5-1)</f>
        <v>-4139.2983398437491</v>
      </c>
      <c r="BC20" s="64">
        <f>-Assumptions!$B$32/12*(1+Assumptions!$B$11)^(BC5-1)</f>
        <v>-4139.2983398437491</v>
      </c>
      <c r="BD20" s="64">
        <f>-Assumptions!$B$32/12*(1+Assumptions!$B$11)^(BD5-1)</f>
        <v>-4139.2983398437491</v>
      </c>
      <c r="BE20" s="64">
        <f>-Assumptions!$B$32/12*(1+Assumptions!$B$11)^(BE5-1)</f>
        <v>-4139.2983398437491</v>
      </c>
      <c r="BF20" s="64">
        <f>-Assumptions!$B$32/12*(1+Assumptions!$B$11)^(BF5-1)</f>
        <v>-4139.2983398437491</v>
      </c>
      <c r="BG20" s="64">
        <f>-Assumptions!$B$32/12*(1+Assumptions!$B$11)^(BG5-1)</f>
        <v>-4139.2983398437491</v>
      </c>
      <c r="BH20" s="64">
        <f>-Assumptions!$B$32/12*(1+Assumptions!$B$11)^(BH5-1)</f>
        <v>-4139.2983398437491</v>
      </c>
      <c r="BI20" s="64">
        <f>-Assumptions!$B$32/12*(1+Assumptions!$B$11)^(BI5-1)</f>
        <v>-4139.2983398437491</v>
      </c>
      <c r="BJ20" s="64">
        <f>-Assumptions!$B$32/12*(1+Assumptions!$B$11)^(BJ5-1)</f>
        <v>-4139.2983398437491</v>
      </c>
      <c r="BK20" s="64">
        <f>-Assumptions!$B$32/12*(1+Assumptions!$B$11)^(BK5-1)</f>
        <v>-4139.2983398437491</v>
      </c>
      <c r="BL20" s="64">
        <f>-Assumptions!$B$32/12*(1+Assumptions!$B$11)^(BL5-1)</f>
        <v>-4242.7807983398425</v>
      </c>
      <c r="BM20" s="64">
        <f>-Assumptions!$B$32/12*(1+Assumptions!$B$11)^(BM5-1)</f>
        <v>-4242.7807983398425</v>
      </c>
      <c r="BN20" s="64">
        <f>-Assumptions!$B$32/12*(1+Assumptions!$B$11)^(BN5-1)</f>
        <v>-4242.7807983398425</v>
      </c>
      <c r="BO20" s="64">
        <f>-Assumptions!$B$32/12*(1+Assumptions!$B$11)^(BO5-1)</f>
        <v>-4242.7807983398425</v>
      </c>
      <c r="BP20" s="64">
        <f>-Assumptions!$B$32/12*(1+Assumptions!$B$11)^(BP5-1)</f>
        <v>-4242.7807983398425</v>
      </c>
      <c r="BQ20" s="64">
        <f>-Assumptions!$B$32/12*(1+Assumptions!$B$11)^(BQ5-1)</f>
        <v>-4242.7807983398425</v>
      </c>
      <c r="BR20" s="64">
        <f>-Assumptions!$B$32/12*(1+Assumptions!$B$11)^(BR5-1)</f>
        <v>-4242.7807983398425</v>
      </c>
      <c r="BS20" s="64">
        <f>-Assumptions!$B$32/12*(1+Assumptions!$B$11)^(BS5-1)</f>
        <v>-4242.7807983398425</v>
      </c>
      <c r="BT20" s="64">
        <f>-Assumptions!$B$32/12*(1+Assumptions!$B$11)^(BT5-1)</f>
        <v>-4242.7807983398425</v>
      </c>
      <c r="BU20" s="64">
        <f>-Assumptions!$B$32/12*(1+Assumptions!$B$11)^(BU5-1)</f>
        <v>-4242.7807983398425</v>
      </c>
      <c r="BV20" s="64">
        <f>-Assumptions!$B$32/12*(1+Assumptions!$B$11)^(BV5-1)</f>
        <v>-4242.7807983398425</v>
      </c>
      <c r="BW20" s="64">
        <f>-Assumptions!$B$32/12*(1+Assumptions!$B$11)^(BW5-1)</f>
        <v>-4242.7807983398425</v>
      </c>
      <c r="BX20" s="64">
        <f>-Assumptions!$B$32/12*(1+Assumptions!$B$11)^(BX5-1)</f>
        <v>-4348.8503182983386</v>
      </c>
      <c r="BY20" s="64">
        <f>-Assumptions!$B$32/12*(1+Assumptions!$B$11)^(BY5-1)</f>
        <v>-4348.8503182983386</v>
      </c>
      <c r="BZ20" s="64">
        <f>-Assumptions!$B$32/12*(1+Assumptions!$B$11)^(BZ5-1)</f>
        <v>-4348.8503182983386</v>
      </c>
      <c r="CA20" s="64">
        <f>-Assumptions!$B$32/12*(1+Assumptions!$B$11)^(CA5-1)</f>
        <v>-4348.8503182983386</v>
      </c>
      <c r="CB20" s="64">
        <f>-Assumptions!$B$32/12*(1+Assumptions!$B$11)^(CB5-1)</f>
        <v>-4348.8503182983386</v>
      </c>
      <c r="CC20" s="64">
        <f>-Assumptions!$B$32/12*(1+Assumptions!$B$11)^(CC5-1)</f>
        <v>-4348.8503182983386</v>
      </c>
      <c r="CD20" s="64">
        <f>-Assumptions!$B$32/12*(1+Assumptions!$B$11)^(CD5-1)</f>
        <v>-4348.8503182983386</v>
      </c>
      <c r="CE20" s="64">
        <f>-Assumptions!$B$32/12*(1+Assumptions!$B$11)^(CE5-1)</f>
        <v>-4348.8503182983386</v>
      </c>
      <c r="CF20" s="64">
        <f>-Assumptions!$B$32/12*(1+Assumptions!$B$11)^(CF5-1)</f>
        <v>-4348.8503182983386</v>
      </c>
      <c r="CG20" s="64">
        <f>-Assumptions!$B$32/12*(1+Assumptions!$B$11)^(CG5-1)</f>
        <v>-4348.8503182983386</v>
      </c>
      <c r="CH20" s="64">
        <f>-Assumptions!$B$32/12*(1+Assumptions!$B$11)^(CH5-1)</f>
        <v>-4348.8503182983386</v>
      </c>
      <c r="CI20" s="64">
        <f>-Assumptions!$B$32/12*(1+Assumptions!$B$11)^(CI5-1)</f>
        <v>-4348.8503182983386</v>
      </c>
      <c r="CJ20" s="64">
        <f>-Assumptions!$B$32/12*(1+Assumptions!$B$11)^(CJ5-1)</f>
        <v>-4457.5715762557966</v>
      </c>
      <c r="CK20" s="64">
        <f>-Assumptions!$B$32/12*(1+Assumptions!$B$11)^(CK5-1)</f>
        <v>-4457.5715762557966</v>
      </c>
      <c r="CL20" s="64">
        <f>-Assumptions!$B$32/12*(1+Assumptions!$B$11)^(CL5-1)</f>
        <v>-4457.5715762557966</v>
      </c>
      <c r="CM20" s="64">
        <f>-Assumptions!$B$32/12*(1+Assumptions!$B$11)^(CM5-1)</f>
        <v>-4457.5715762557966</v>
      </c>
      <c r="CN20" s="64">
        <f>-Assumptions!$B$32/12*(1+Assumptions!$B$11)^(CN5-1)</f>
        <v>-4457.5715762557966</v>
      </c>
      <c r="CO20" s="64">
        <f>-Assumptions!$B$32/12*(1+Assumptions!$B$11)^(CO5-1)</f>
        <v>-4457.5715762557966</v>
      </c>
      <c r="CP20" s="64">
        <f>-Assumptions!$B$32/12*(1+Assumptions!$B$11)^(CP5-1)</f>
        <v>-4457.5715762557966</v>
      </c>
      <c r="CQ20" s="64">
        <f>-Assumptions!$B$32/12*(1+Assumptions!$B$11)^(CQ5-1)</f>
        <v>-4457.5715762557966</v>
      </c>
      <c r="CR20" s="64">
        <f>-Assumptions!$B$32/12*(1+Assumptions!$B$11)^(CR5-1)</f>
        <v>-4457.5715762557966</v>
      </c>
      <c r="CS20" s="64">
        <f>-Assumptions!$B$32/12*(1+Assumptions!$B$11)^(CS5-1)</f>
        <v>-4457.5715762557966</v>
      </c>
      <c r="CT20" s="64">
        <f>-Assumptions!$B$32/12*(1+Assumptions!$B$11)^(CT5-1)</f>
        <v>-4457.5715762557966</v>
      </c>
      <c r="CU20" s="64">
        <f>-Assumptions!$B$32/12*(1+Assumptions!$B$11)^(CU5-1)</f>
        <v>-4457.5715762557966</v>
      </c>
      <c r="CV20" s="64">
        <f>-Assumptions!$B$32/12*(1+Assumptions!$B$11)^(CV5-1)</f>
        <v>-4569.0108656621915</v>
      </c>
      <c r="CW20" s="64">
        <f>-Assumptions!$B$32/12*(1+Assumptions!$B$11)^(CW5-1)</f>
        <v>-4569.0108656621915</v>
      </c>
      <c r="CX20" s="64">
        <f>-Assumptions!$B$32/12*(1+Assumptions!$B$11)^(CX5-1)</f>
        <v>-4569.0108656621915</v>
      </c>
      <c r="CY20" s="64">
        <f>-Assumptions!$B$32/12*(1+Assumptions!$B$11)^(CY5-1)</f>
        <v>-4569.0108656621915</v>
      </c>
      <c r="CZ20" s="64">
        <f>-Assumptions!$B$32/12*(1+Assumptions!$B$11)^(CZ5-1)</f>
        <v>-4569.0108656621915</v>
      </c>
      <c r="DA20" s="64">
        <f>-Assumptions!$B$32/12*(1+Assumptions!$B$11)^(DA5-1)</f>
        <v>-4569.0108656621915</v>
      </c>
      <c r="DB20" s="64">
        <f>-Assumptions!$B$32/12*(1+Assumptions!$B$11)^(DB5-1)</f>
        <v>-4569.0108656621915</v>
      </c>
      <c r="DC20" s="64">
        <f>-Assumptions!$B$32/12*(1+Assumptions!$B$11)^(DC5-1)</f>
        <v>-4569.0108656621915</v>
      </c>
      <c r="DD20" s="64">
        <f>-Assumptions!$B$32/12*(1+Assumptions!$B$11)^(DD5-1)</f>
        <v>-4569.0108656621915</v>
      </c>
      <c r="DE20" s="64">
        <f>-Assumptions!$B$32/12*(1+Assumptions!$B$11)^(DE5-1)</f>
        <v>-4569.0108656621915</v>
      </c>
      <c r="DF20" s="64">
        <f>-Assumptions!$B$32/12*(1+Assumptions!$B$11)^(DF5-1)</f>
        <v>-4569.0108656621915</v>
      </c>
      <c r="DG20" s="64">
        <f>-Assumptions!$B$32/12*(1+Assumptions!$B$11)^(DG5-1)</f>
        <v>-4569.0108656621915</v>
      </c>
      <c r="DH20" s="64">
        <f>-Assumptions!$B$32/12*(1+Assumptions!$B$11)^(DH5-1)</f>
        <v>-4683.2361373037456</v>
      </c>
      <c r="DI20" s="64">
        <f>-Assumptions!$B$32/12*(1+Assumptions!$B$11)^(DI5-1)</f>
        <v>-4683.2361373037456</v>
      </c>
      <c r="DJ20" s="64">
        <f>-Assumptions!$B$32/12*(1+Assumptions!$B$11)^(DJ5-1)</f>
        <v>-4683.2361373037456</v>
      </c>
      <c r="DK20" s="64">
        <f>-Assumptions!$B$32/12*(1+Assumptions!$B$11)^(DK5-1)</f>
        <v>-4683.2361373037456</v>
      </c>
      <c r="DL20" s="64">
        <f>-Assumptions!$B$32/12*(1+Assumptions!$B$11)^(DL5-1)</f>
        <v>-4683.2361373037456</v>
      </c>
      <c r="DM20" s="64">
        <f>-Assumptions!$B$32/12*(1+Assumptions!$B$11)^(DM5-1)</f>
        <v>-4683.2361373037456</v>
      </c>
      <c r="DN20" s="64">
        <f>-Assumptions!$B$32/12*(1+Assumptions!$B$11)^(DN5-1)</f>
        <v>-4683.2361373037456</v>
      </c>
      <c r="DO20" s="64">
        <f>-Assumptions!$B$32/12*(1+Assumptions!$B$11)^(DO5-1)</f>
        <v>-4683.2361373037456</v>
      </c>
      <c r="DP20" s="64">
        <f>-Assumptions!$B$32/12*(1+Assumptions!$B$11)^(DP5-1)</f>
        <v>-4683.2361373037456</v>
      </c>
      <c r="DQ20" s="64">
        <f>-Assumptions!$B$32/12*(1+Assumptions!$B$11)^(DQ5-1)</f>
        <v>-4683.2361373037456</v>
      </c>
      <c r="DR20" s="64">
        <f>-Assumptions!$B$32/12*(1+Assumptions!$B$11)^(DR5-1)</f>
        <v>-4683.2361373037456</v>
      </c>
      <c r="DS20" s="64">
        <f>-Assumptions!$B$32/12*(1+Assumptions!$B$11)^(DS5-1)</f>
        <v>-4683.2361373037456</v>
      </c>
    </row>
    <row r="21" spans="1:123" x14ac:dyDescent="0.25">
      <c r="A21" s="1" t="s">
        <v>86</v>
      </c>
      <c r="D21" s="64">
        <f>-Assumptions!$B$33/12*(1+Assumptions!$B$11)^(D5-1)</f>
        <v>-1666.6666666666667</v>
      </c>
      <c r="E21" s="64">
        <f>-Assumptions!$B$33/12*(1+Assumptions!$B$11)^(E5-1)</f>
        <v>-1666.6666666666667</v>
      </c>
      <c r="F21" s="64">
        <f>-Assumptions!$B$33/12*(1+Assumptions!$B$11)^(F5-1)</f>
        <v>-1666.6666666666667</v>
      </c>
      <c r="G21" s="64">
        <f>-Assumptions!$B$33/12*(1+Assumptions!$B$11)^(G5-1)</f>
        <v>-1666.6666666666667</v>
      </c>
      <c r="H21" s="64">
        <f>-Assumptions!$B$33/12*(1+Assumptions!$B$11)^(H5-1)</f>
        <v>-1666.6666666666667</v>
      </c>
      <c r="I21" s="64">
        <f>-Assumptions!$B$33/12*(1+Assumptions!$B$11)^(I5-1)</f>
        <v>-1666.6666666666667</v>
      </c>
      <c r="J21" s="64">
        <f>-Assumptions!$B$33/12*(1+Assumptions!$B$11)^(J5-1)</f>
        <v>-1666.6666666666667</v>
      </c>
      <c r="K21" s="64">
        <f>-Assumptions!$B$33/12*(1+Assumptions!$B$11)^(K5-1)</f>
        <v>-1666.6666666666667</v>
      </c>
      <c r="L21" s="64">
        <f>-Assumptions!$B$33/12*(1+Assumptions!$B$11)^(L5-1)</f>
        <v>-1666.6666666666667</v>
      </c>
      <c r="M21" s="64">
        <f>-Assumptions!$B$33/12*(1+Assumptions!$B$11)^(M5-1)</f>
        <v>-1666.6666666666667</v>
      </c>
      <c r="N21" s="64">
        <f>-Assumptions!$B$33/12*(1+Assumptions!$B$11)^(N5-1)</f>
        <v>-1666.6666666666667</v>
      </c>
      <c r="O21" s="64">
        <f>-Assumptions!$B$33/12*(1+Assumptions!$B$11)^(O5-1)</f>
        <v>-1666.6666666666667</v>
      </c>
      <c r="P21" s="64">
        <f>-Assumptions!$B$33/12*(1+Assumptions!$B$11)^(P5-1)</f>
        <v>-1708.3333333333333</v>
      </c>
      <c r="Q21" s="64">
        <f>-Assumptions!$B$33/12*(1+Assumptions!$B$11)^(Q5-1)</f>
        <v>-1708.3333333333333</v>
      </c>
      <c r="R21" s="64">
        <f>-Assumptions!$B$33/12*(1+Assumptions!$B$11)^(R5-1)</f>
        <v>-1708.3333333333333</v>
      </c>
      <c r="S21" s="64">
        <f>-Assumptions!$B$33/12*(1+Assumptions!$B$11)^(S5-1)</f>
        <v>-1708.3333333333333</v>
      </c>
      <c r="T21" s="64">
        <f>-Assumptions!$B$33/12*(1+Assumptions!$B$11)^(T5-1)</f>
        <v>-1708.3333333333333</v>
      </c>
      <c r="U21" s="64">
        <f>-Assumptions!$B$33/12*(1+Assumptions!$B$11)^(U5-1)</f>
        <v>-1708.3333333333333</v>
      </c>
      <c r="V21" s="64">
        <f>-Assumptions!$B$33/12*(1+Assumptions!$B$11)^(V5-1)</f>
        <v>-1708.3333333333333</v>
      </c>
      <c r="W21" s="64">
        <f>-Assumptions!$B$33/12*(1+Assumptions!$B$11)^(W5-1)</f>
        <v>-1708.3333333333333</v>
      </c>
      <c r="X21" s="64">
        <f>-Assumptions!$B$33/12*(1+Assumptions!$B$11)^(X5-1)</f>
        <v>-1708.3333333333333</v>
      </c>
      <c r="Y21" s="64">
        <f>-Assumptions!$B$33/12*(1+Assumptions!$B$11)^(Y5-1)</f>
        <v>-1708.3333333333333</v>
      </c>
      <c r="Z21" s="64">
        <f>-Assumptions!$B$33/12*(1+Assumptions!$B$11)^(Z5-1)</f>
        <v>-1708.3333333333333</v>
      </c>
      <c r="AA21" s="64">
        <f>-Assumptions!$B$33/12*(1+Assumptions!$B$11)^(AA5-1)</f>
        <v>-1708.3333333333333</v>
      </c>
      <c r="AB21" s="64">
        <f>-Assumptions!$B$33/12*(1+Assumptions!$B$11)^(AB5-1)</f>
        <v>-1751.0416666666665</v>
      </c>
      <c r="AC21" s="64">
        <f>-Assumptions!$B$33/12*(1+Assumptions!$B$11)^(AC5-1)</f>
        <v>-1751.0416666666665</v>
      </c>
      <c r="AD21" s="64">
        <f>-Assumptions!$B$33/12*(1+Assumptions!$B$11)^(AD5-1)</f>
        <v>-1751.0416666666665</v>
      </c>
      <c r="AE21" s="64">
        <f>-Assumptions!$B$33/12*(1+Assumptions!$B$11)^(AE5-1)</f>
        <v>-1751.0416666666665</v>
      </c>
      <c r="AF21" s="64">
        <f>-Assumptions!$B$33/12*(1+Assumptions!$B$11)^(AF5-1)</f>
        <v>-1751.0416666666665</v>
      </c>
      <c r="AG21" s="64">
        <f>-Assumptions!$B$33/12*(1+Assumptions!$B$11)^(AG5-1)</f>
        <v>-1751.0416666666665</v>
      </c>
      <c r="AH21" s="64">
        <f>-Assumptions!$B$33/12*(1+Assumptions!$B$11)^(AH5-1)</f>
        <v>-1751.0416666666665</v>
      </c>
      <c r="AI21" s="64">
        <f>-Assumptions!$B$33/12*(1+Assumptions!$B$11)^(AI5-1)</f>
        <v>-1751.0416666666665</v>
      </c>
      <c r="AJ21" s="64">
        <f>-Assumptions!$B$33/12*(1+Assumptions!$B$11)^(AJ5-1)</f>
        <v>-1751.0416666666665</v>
      </c>
      <c r="AK21" s="64">
        <f>-Assumptions!$B$33/12*(1+Assumptions!$B$11)^(AK5-1)</f>
        <v>-1751.0416666666665</v>
      </c>
      <c r="AL21" s="64">
        <f>-Assumptions!$B$33/12*(1+Assumptions!$B$11)^(AL5-1)</f>
        <v>-1751.0416666666665</v>
      </c>
      <c r="AM21" s="64">
        <f>-Assumptions!$B$33/12*(1+Assumptions!$B$11)^(AM5-1)</f>
        <v>-1751.0416666666665</v>
      </c>
      <c r="AN21" s="64">
        <f>-Assumptions!$B$33/12*(1+Assumptions!$B$11)^(AN5-1)</f>
        <v>-1794.8177083333333</v>
      </c>
      <c r="AO21" s="64">
        <f>-Assumptions!$B$33/12*(1+Assumptions!$B$11)^(AO5-1)</f>
        <v>-1794.8177083333333</v>
      </c>
      <c r="AP21" s="64">
        <f>-Assumptions!$B$33/12*(1+Assumptions!$B$11)^(AP5-1)</f>
        <v>-1794.8177083333333</v>
      </c>
      <c r="AQ21" s="64">
        <f>-Assumptions!$B$33/12*(1+Assumptions!$B$11)^(AQ5-1)</f>
        <v>-1794.8177083333333</v>
      </c>
      <c r="AR21" s="64">
        <f>-Assumptions!$B$33/12*(1+Assumptions!$B$11)^(AR5-1)</f>
        <v>-1794.8177083333333</v>
      </c>
      <c r="AS21" s="64">
        <f>-Assumptions!$B$33/12*(1+Assumptions!$B$11)^(AS5-1)</f>
        <v>-1794.8177083333333</v>
      </c>
      <c r="AT21" s="64">
        <f>-Assumptions!$B$33/12*(1+Assumptions!$B$11)^(AT5-1)</f>
        <v>-1794.8177083333333</v>
      </c>
      <c r="AU21" s="64">
        <f>-Assumptions!$B$33/12*(1+Assumptions!$B$11)^(AU5-1)</f>
        <v>-1794.8177083333333</v>
      </c>
      <c r="AV21" s="64">
        <f>-Assumptions!$B$33/12*(1+Assumptions!$B$11)^(AV5-1)</f>
        <v>-1794.8177083333333</v>
      </c>
      <c r="AW21" s="64">
        <f>-Assumptions!$B$33/12*(1+Assumptions!$B$11)^(AW5-1)</f>
        <v>-1794.8177083333333</v>
      </c>
      <c r="AX21" s="64">
        <f>-Assumptions!$B$33/12*(1+Assumptions!$B$11)^(AX5-1)</f>
        <v>-1794.8177083333333</v>
      </c>
      <c r="AY21" s="64">
        <f>-Assumptions!$B$33/12*(1+Assumptions!$B$11)^(AY5-1)</f>
        <v>-1794.8177083333333</v>
      </c>
      <c r="AZ21" s="64">
        <f>-Assumptions!$B$33/12*(1+Assumptions!$B$11)^(AZ5-1)</f>
        <v>-1839.6881510416663</v>
      </c>
      <c r="BA21" s="64">
        <f>-Assumptions!$B$33/12*(1+Assumptions!$B$11)^(BA5-1)</f>
        <v>-1839.6881510416663</v>
      </c>
      <c r="BB21" s="64">
        <f>-Assumptions!$B$33/12*(1+Assumptions!$B$11)^(BB5-1)</f>
        <v>-1839.6881510416663</v>
      </c>
      <c r="BC21" s="64">
        <f>-Assumptions!$B$33/12*(1+Assumptions!$B$11)^(BC5-1)</f>
        <v>-1839.6881510416663</v>
      </c>
      <c r="BD21" s="64">
        <f>-Assumptions!$B$33/12*(1+Assumptions!$B$11)^(BD5-1)</f>
        <v>-1839.6881510416663</v>
      </c>
      <c r="BE21" s="64">
        <f>-Assumptions!$B$33/12*(1+Assumptions!$B$11)^(BE5-1)</f>
        <v>-1839.6881510416663</v>
      </c>
      <c r="BF21" s="64">
        <f>-Assumptions!$B$33/12*(1+Assumptions!$B$11)^(BF5-1)</f>
        <v>-1839.6881510416663</v>
      </c>
      <c r="BG21" s="64">
        <f>-Assumptions!$B$33/12*(1+Assumptions!$B$11)^(BG5-1)</f>
        <v>-1839.6881510416663</v>
      </c>
      <c r="BH21" s="64">
        <f>-Assumptions!$B$33/12*(1+Assumptions!$B$11)^(BH5-1)</f>
        <v>-1839.6881510416663</v>
      </c>
      <c r="BI21" s="64">
        <f>-Assumptions!$B$33/12*(1+Assumptions!$B$11)^(BI5-1)</f>
        <v>-1839.6881510416663</v>
      </c>
      <c r="BJ21" s="64">
        <f>-Assumptions!$B$33/12*(1+Assumptions!$B$11)^(BJ5-1)</f>
        <v>-1839.6881510416663</v>
      </c>
      <c r="BK21" s="64">
        <f>-Assumptions!$B$33/12*(1+Assumptions!$B$11)^(BK5-1)</f>
        <v>-1839.6881510416663</v>
      </c>
      <c r="BL21" s="64">
        <f>-Assumptions!$B$33/12*(1+Assumptions!$B$11)^(BL5-1)</f>
        <v>-1885.6803548177079</v>
      </c>
      <c r="BM21" s="64">
        <f>-Assumptions!$B$33/12*(1+Assumptions!$B$11)^(BM5-1)</f>
        <v>-1885.6803548177079</v>
      </c>
      <c r="BN21" s="64">
        <f>-Assumptions!$B$33/12*(1+Assumptions!$B$11)^(BN5-1)</f>
        <v>-1885.6803548177079</v>
      </c>
      <c r="BO21" s="64">
        <f>-Assumptions!$B$33/12*(1+Assumptions!$B$11)^(BO5-1)</f>
        <v>-1885.6803548177079</v>
      </c>
      <c r="BP21" s="64">
        <f>-Assumptions!$B$33/12*(1+Assumptions!$B$11)^(BP5-1)</f>
        <v>-1885.6803548177079</v>
      </c>
      <c r="BQ21" s="64">
        <f>-Assumptions!$B$33/12*(1+Assumptions!$B$11)^(BQ5-1)</f>
        <v>-1885.6803548177079</v>
      </c>
      <c r="BR21" s="64">
        <f>-Assumptions!$B$33/12*(1+Assumptions!$B$11)^(BR5-1)</f>
        <v>-1885.6803548177079</v>
      </c>
      <c r="BS21" s="64">
        <f>-Assumptions!$B$33/12*(1+Assumptions!$B$11)^(BS5-1)</f>
        <v>-1885.6803548177079</v>
      </c>
      <c r="BT21" s="64">
        <f>-Assumptions!$B$33/12*(1+Assumptions!$B$11)^(BT5-1)</f>
        <v>-1885.6803548177079</v>
      </c>
      <c r="BU21" s="64">
        <f>-Assumptions!$B$33/12*(1+Assumptions!$B$11)^(BU5-1)</f>
        <v>-1885.6803548177079</v>
      </c>
      <c r="BV21" s="64">
        <f>-Assumptions!$B$33/12*(1+Assumptions!$B$11)^(BV5-1)</f>
        <v>-1885.6803548177079</v>
      </c>
      <c r="BW21" s="64">
        <f>-Assumptions!$B$33/12*(1+Assumptions!$B$11)^(BW5-1)</f>
        <v>-1885.6803548177079</v>
      </c>
      <c r="BX21" s="64">
        <f>-Assumptions!$B$33/12*(1+Assumptions!$B$11)^(BX5-1)</f>
        <v>-1932.8223636881503</v>
      </c>
      <c r="BY21" s="64">
        <f>-Assumptions!$B$33/12*(1+Assumptions!$B$11)^(BY5-1)</f>
        <v>-1932.8223636881503</v>
      </c>
      <c r="BZ21" s="64">
        <f>-Assumptions!$B$33/12*(1+Assumptions!$B$11)^(BZ5-1)</f>
        <v>-1932.8223636881503</v>
      </c>
      <c r="CA21" s="64">
        <f>-Assumptions!$B$33/12*(1+Assumptions!$B$11)^(CA5-1)</f>
        <v>-1932.8223636881503</v>
      </c>
      <c r="CB21" s="64">
        <f>-Assumptions!$B$33/12*(1+Assumptions!$B$11)^(CB5-1)</f>
        <v>-1932.8223636881503</v>
      </c>
      <c r="CC21" s="64">
        <f>-Assumptions!$B$33/12*(1+Assumptions!$B$11)^(CC5-1)</f>
        <v>-1932.8223636881503</v>
      </c>
      <c r="CD21" s="64">
        <f>-Assumptions!$B$33/12*(1+Assumptions!$B$11)^(CD5-1)</f>
        <v>-1932.8223636881503</v>
      </c>
      <c r="CE21" s="64">
        <f>-Assumptions!$B$33/12*(1+Assumptions!$B$11)^(CE5-1)</f>
        <v>-1932.8223636881503</v>
      </c>
      <c r="CF21" s="64">
        <f>-Assumptions!$B$33/12*(1+Assumptions!$B$11)^(CF5-1)</f>
        <v>-1932.8223636881503</v>
      </c>
      <c r="CG21" s="64">
        <f>-Assumptions!$B$33/12*(1+Assumptions!$B$11)^(CG5-1)</f>
        <v>-1932.8223636881503</v>
      </c>
      <c r="CH21" s="64">
        <f>-Assumptions!$B$33/12*(1+Assumptions!$B$11)^(CH5-1)</f>
        <v>-1932.8223636881503</v>
      </c>
      <c r="CI21" s="64">
        <f>-Assumptions!$B$33/12*(1+Assumptions!$B$11)^(CI5-1)</f>
        <v>-1932.8223636881503</v>
      </c>
      <c r="CJ21" s="64">
        <f>-Assumptions!$B$33/12*(1+Assumptions!$B$11)^(CJ5-1)</f>
        <v>-1981.1429227803542</v>
      </c>
      <c r="CK21" s="64">
        <f>-Assumptions!$B$33/12*(1+Assumptions!$B$11)^(CK5-1)</f>
        <v>-1981.1429227803542</v>
      </c>
      <c r="CL21" s="64">
        <f>-Assumptions!$B$33/12*(1+Assumptions!$B$11)^(CL5-1)</f>
        <v>-1981.1429227803542</v>
      </c>
      <c r="CM21" s="64">
        <f>-Assumptions!$B$33/12*(1+Assumptions!$B$11)^(CM5-1)</f>
        <v>-1981.1429227803542</v>
      </c>
      <c r="CN21" s="64">
        <f>-Assumptions!$B$33/12*(1+Assumptions!$B$11)^(CN5-1)</f>
        <v>-1981.1429227803542</v>
      </c>
      <c r="CO21" s="64">
        <f>-Assumptions!$B$33/12*(1+Assumptions!$B$11)^(CO5-1)</f>
        <v>-1981.1429227803542</v>
      </c>
      <c r="CP21" s="64">
        <f>-Assumptions!$B$33/12*(1+Assumptions!$B$11)^(CP5-1)</f>
        <v>-1981.1429227803542</v>
      </c>
      <c r="CQ21" s="64">
        <f>-Assumptions!$B$33/12*(1+Assumptions!$B$11)^(CQ5-1)</f>
        <v>-1981.1429227803542</v>
      </c>
      <c r="CR21" s="64">
        <f>-Assumptions!$B$33/12*(1+Assumptions!$B$11)^(CR5-1)</f>
        <v>-1981.1429227803542</v>
      </c>
      <c r="CS21" s="64">
        <f>-Assumptions!$B$33/12*(1+Assumptions!$B$11)^(CS5-1)</f>
        <v>-1981.1429227803542</v>
      </c>
      <c r="CT21" s="64">
        <f>-Assumptions!$B$33/12*(1+Assumptions!$B$11)^(CT5-1)</f>
        <v>-1981.1429227803542</v>
      </c>
      <c r="CU21" s="64">
        <f>-Assumptions!$B$33/12*(1+Assumptions!$B$11)^(CU5-1)</f>
        <v>-1981.1429227803542</v>
      </c>
      <c r="CV21" s="64">
        <f>-Assumptions!$B$33/12*(1+Assumptions!$B$11)^(CV5-1)</f>
        <v>-2030.6714958498628</v>
      </c>
      <c r="CW21" s="64">
        <f>-Assumptions!$B$33/12*(1+Assumptions!$B$11)^(CW5-1)</f>
        <v>-2030.6714958498628</v>
      </c>
      <c r="CX21" s="64">
        <f>-Assumptions!$B$33/12*(1+Assumptions!$B$11)^(CX5-1)</f>
        <v>-2030.6714958498628</v>
      </c>
      <c r="CY21" s="64">
        <f>-Assumptions!$B$33/12*(1+Assumptions!$B$11)^(CY5-1)</f>
        <v>-2030.6714958498628</v>
      </c>
      <c r="CZ21" s="64">
        <f>-Assumptions!$B$33/12*(1+Assumptions!$B$11)^(CZ5-1)</f>
        <v>-2030.6714958498628</v>
      </c>
      <c r="DA21" s="64">
        <f>-Assumptions!$B$33/12*(1+Assumptions!$B$11)^(DA5-1)</f>
        <v>-2030.6714958498628</v>
      </c>
      <c r="DB21" s="64">
        <f>-Assumptions!$B$33/12*(1+Assumptions!$B$11)^(DB5-1)</f>
        <v>-2030.6714958498628</v>
      </c>
      <c r="DC21" s="64">
        <f>-Assumptions!$B$33/12*(1+Assumptions!$B$11)^(DC5-1)</f>
        <v>-2030.6714958498628</v>
      </c>
      <c r="DD21" s="64">
        <f>-Assumptions!$B$33/12*(1+Assumptions!$B$11)^(DD5-1)</f>
        <v>-2030.6714958498628</v>
      </c>
      <c r="DE21" s="64">
        <f>-Assumptions!$B$33/12*(1+Assumptions!$B$11)^(DE5-1)</f>
        <v>-2030.6714958498628</v>
      </c>
      <c r="DF21" s="64">
        <f>-Assumptions!$B$33/12*(1+Assumptions!$B$11)^(DF5-1)</f>
        <v>-2030.6714958498628</v>
      </c>
      <c r="DG21" s="64">
        <f>-Assumptions!$B$33/12*(1+Assumptions!$B$11)^(DG5-1)</f>
        <v>-2030.6714958498628</v>
      </c>
      <c r="DH21" s="64">
        <f>-Assumptions!$B$33/12*(1+Assumptions!$B$11)^(DH5-1)</f>
        <v>-2081.4382832461092</v>
      </c>
      <c r="DI21" s="64">
        <f>-Assumptions!$B$33/12*(1+Assumptions!$B$11)^(DI5-1)</f>
        <v>-2081.4382832461092</v>
      </c>
      <c r="DJ21" s="64">
        <f>-Assumptions!$B$33/12*(1+Assumptions!$B$11)^(DJ5-1)</f>
        <v>-2081.4382832461092</v>
      </c>
      <c r="DK21" s="64">
        <f>-Assumptions!$B$33/12*(1+Assumptions!$B$11)^(DK5-1)</f>
        <v>-2081.4382832461092</v>
      </c>
      <c r="DL21" s="64">
        <f>-Assumptions!$B$33/12*(1+Assumptions!$B$11)^(DL5-1)</f>
        <v>-2081.4382832461092</v>
      </c>
      <c r="DM21" s="64">
        <f>-Assumptions!$B$33/12*(1+Assumptions!$B$11)^(DM5-1)</f>
        <v>-2081.4382832461092</v>
      </c>
      <c r="DN21" s="64">
        <f>-Assumptions!$B$33/12*(1+Assumptions!$B$11)^(DN5-1)</f>
        <v>-2081.4382832461092</v>
      </c>
      <c r="DO21" s="64">
        <f>-Assumptions!$B$33/12*(1+Assumptions!$B$11)^(DO5-1)</f>
        <v>-2081.4382832461092</v>
      </c>
      <c r="DP21" s="64">
        <f>-Assumptions!$B$33/12*(1+Assumptions!$B$11)^(DP5-1)</f>
        <v>-2081.4382832461092</v>
      </c>
      <c r="DQ21" s="64">
        <f>-Assumptions!$B$33/12*(1+Assumptions!$B$11)^(DQ5-1)</f>
        <v>-2081.4382832461092</v>
      </c>
      <c r="DR21" s="64">
        <f>-Assumptions!$B$33/12*(1+Assumptions!$B$11)^(DR5-1)</f>
        <v>-2081.4382832461092</v>
      </c>
      <c r="DS21" s="64">
        <f>-Assumptions!$B$33/12*(1+Assumptions!$B$11)^(DS5-1)</f>
        <v>-2081.4382832461092</v>
      </c>
    </row>
    <row r="22" spans="1:123" x14ac:dyDescent="0.25">
      <c r="A22" s="1" t="s">
        <v>87</v>
      </c>
      <c r="D22" s="64">
        <f>-Assumptions!$B$34/12*(1+Assumptions!$B$11)^(D5-1)</f>
        <v>-1000</v>
      </c>
      <c r="E22" s="64">
        <f>-Assumptions!$B$34/12*(1+Assumptions!$B$11)^(E5-1)</f>
        <v>-1000</v>
      </c>
      <c r="F22" s="64">
        <f>-Assumptions!$B$34/12*(1+Assumptions!$B$11)^(F5-1)</f>
        <v>-1000</v>
      </c>
      <c r="G22" s="64">
        <f>-Assumptions!$B$34/12*(1+Assumptions!$B$11)^(G5-1)</f>
        <v>-1000</v>
      </c>
      <c r="H22" s="64">
        <f>-Assumptions!$B$34/12*(1+Assumptions!$B$11)^(H5-1)</f>
        <v>-1000</v>
      </c>
      <c r="I22" s="64">
        <f>-Assumptions!$B$34/12*(1+Assumptions!$B$11)^(I5-1)</f>
        <v>-1000</v>
      </c>
      <c r="J22" s="64">
        <f>-Assumptions!$B$34/12*(1+Assumptions!$B$11)^(J5-1)</f>
        <v>-1000</v>
      </c>
      <c r="K22" s="64">
        <f>-Assumptions!$B$34/12*(1+Assumptions!$B$11)^(K5-1)</f>
        <v>-1000</v>
      </c>
      <c r="L22" s="64">
        <f>-Assumptions!$B$34/12*(1+Assumptions!$B$11)^(L5-1)</f>
        <v>-1000</v>
      </c>
      <c r="M22" s="64">
        <f>-Assumptions!$B$34/12*(1+Assumptions!$B$11)^(M5-1)</f>
        <v>-1000</v>
      </c>
      <c r="N22" s="64">
        <f>-Assumptions!$B$34/12*(1+Assumptions!$B$11)^(N5-1)</f>
        <v>-1000</v>
      </c>
      <c r="O22" s="64">
        <f>-Assumptions!$B$34/12*(1+Assumptions!$B$11)^(O5-1)</f>
        <v>-1000</v>
      </c>
      <c r="P22" s="64">
        <f>-Assumptions!$B$34/12*(1+Assumptions!$B$11)^(P5-1)</f>
        <v>-1025</v>
      </c>
      <c r="Q22" s="64">
        <f>-Assumptions!$B$34/12*(1+Assumptions!$B$11)^(Q5-1)</f>
        <v>-1025</v>
      </c>
      <c r="R22" s="64">
        <f>-Assumptions!$B$34/12*(1+Assumptions!$B$11)^(R5-1)</f>
        <v>-1025</v>
      </c>
      <c r="S22" s="64">
        <f>-Assumptions!$B$34/12*(1+Assumptions!$B$11)^(S5-1)</f>
        <v>-1025</v>
      </c>
      <c r="T22" s="64">
        <f>-Assumptions!$B$34/12*(1+Assumptions!$B$11)^(T5-1)</f>
        <v>-1025</v>
      </c>
      <c r="U22" s="64">
        <f>-Assumptions!$B$34/12*(1+Assumptions!$B$11)^(U5-1)</f>
        <v>-1025</v>
      </c>
      <c r="V22" s="64">
        <f>-Assumptions!$B$34/12*(1+Assumptions!$B$11)^(V5-1)</f>
        <v>-1025</v>
      </c>
      <c r="W22" s="64">
        <f>-Assumptions!$B$34/12*(1+Assumptions!$B$11)^(W5-1)</f>
        <v>-1025</v>
      </c>
      <c r="X22" s="64">
        <f>-Assumptions!$B$34/12*(1+Assumptions!$B$11)^(X5-1)</f>
        <v>-1025</v>
      </c>
      <c r="Y22" s="64">
        <f>-Assumptions!$B$34/12*(1+Assumptions!$B$11)^(Y5-1)</f>
        <v>-1025</v>
      </c>
      <c r="Z22" s="64">
        <f>-Assumptions!$B$34/12*(1+Assumptions!$B$11)^(Z5-1)</f>
        <v>-1025</v>
      </c>
      <c r="AA22" s="64">
        <f>-Assumptions!$B$34/12*(1+Assumptions!$B$11)^(AA5-1)</f>
        <v>-1025</v>
      </c>
      <c r="AB22" s="64">
        <f>-Assumptions!$B$34/12*(1+Assumptions!$B$11)^(AB5-1)</f>
        <v>-1050.625</v>
      </c>
      <c r="AC22" s="64">
        <f>-Assumptions!$B$34/12*(1+Assumptions!$B$11)^(AC5-1)</f>
        <v>-1050.625</v>
      </c>
      <c r="AD22" s="64">
        <f>-Assumptions!$B$34/12*(1+Assumptions!$B$11)^(AD5-1)</f>
        <v>-1050.625</v>
      </c>
      <c r="AE22" s="64">
        <f>-Assumptions!$B$34/12*(1+Assumptions!$B$11)^(AE5-1)</f>
        <v>-1050.625</v>
      </c>
      <c r="AF22" s="64">
        <f>-Assumptions!$B$34/12*(1+Assumptions!$B$11)^(AF5-1)</f>
        <v>-1050.625</v>
      </c>
      <c r="AG22" s="64">
        <f>-Assumptions!$B$34/12*(1+Assumptions!$B$11)^(AG5-1)</f>
        <v>-1050.625</v>
      </c>
      <c r="AH22" s="64">
        <f>-Assumptions!$B$34/12*(1+Assumptions!$B$11)^(AH5-1)</f>
        <v>-1050.625</v>
      </c>
      <c r="AI22" s="64">
        <f>-Assumptions!$B$34/12*(1+Assumptions!$B$11)^(AI5-1)</f>
        <v>-1050.625</v>
      </c>
      <c r="AJ22" s="64">
        <f>-Assumptions!$B$34/12*(1+Assumptions!$B$11)^(AJ5-1)</f>
        <v>-1050.625</v>
      </c>
      <c r="AK22" s="64">
        <f>-Assumptions!$B$34/12*(1+Assumptions!$B$11)^(AK5-1)</f>
        <v>-1050.625</v>
      </c>
      <c r="AL22" s="64">
        <f>-Assumptions!$B$34/12*(1+Assumptions!$B$11)^(AL5-1)</f>
        <v>-1050.625</v>
      </c>
      <c r="AM22" s="64">
        <f>-Assumptions!$B$34/12*(1+Assumptions!$B$11)^(AM5-1)</f>
        <v>-1050.625</v>
      </c>
      <c r="AN22" s="64">
        <f>-Assumptions!$B$34/12*(1+Assumptions!$B$11)^(AN5-1)</f>
        <v>-1076.8906249999998</v>
      </c>
      <c r="AO22" s="64">
        <f>-Assumptions!$B$34/12*(1+Assumptions!$B$11)^(AO5-1)</f>
        <v>-1076.8906249999998</v>
      </c>
      <c r="AP22" s="64">
        <f>-Assumptions!$B$34/12*(1+Assumptions!$B$11)^(AP5-1)</f>
        <v>-1076.8906249999998</v>
      </c>
      <c r="AQ22" s="64">
        <f>-Assumptions!$B$34/12*(1+Assumptions!$B$11)^(AQ5-1)</f>
        <v>-1076.8906249999998</v>
      </c>
      <c r="AR22" s="64">
        <f>-Assumptions!$B$34/12*(1+Assumptions!$B$11)^(AR5-1)</f>
        <v>-1076.8906249999998</v>
      </c>
      <c r="AS22" s="64">
        <f>-Assumptions!$B$34/12*(1+Assumptions!$B$11)^(AS5-1)</f>
        <v>-1076.8906249999998</v>
      </c>
      <c r="AT22" s="64">
        <f>-Assumptions!$B$34/12*(1+Assumptions!$B$11)^(AT5-1)</f>
        <v>-1076.8906249999998</v>
      </c>
      <c r="AU22" s="64">
        <f>-Assumptions!$B$34/12*(1+Assumptions!$B$11)^(AU5-1)</f>
        <v>-1076.8906249999998</v>
      </c>
      <c r="AV22" s="64">
        <f>-Assumptions!$B$34/12*(1+Assumptions!$B$11)^(AV5-1)</f>
        <v>-1076.8906249999998</v>
      </c>
      <c r="AW22" s="64">
        <f>-Assumptions!$B$34/12*(1+Assumptions!$B$11)^(AW5-1)</f>
        <v>-1076.8906249999998</v>
      </c>
      <c r="AX22" s="64">
        <f>-Assumptions!$B$34/12*(1+Assumptions!$B$11)^(AX5-1)</f>
        <v>-1076.8906249999998</v>
      </c>
      <c r="AY22" s="64">
        <f>-Assumptions!$B$34/12*(1+Assumptions!$B$11)^(AY5-1)</f>
        <v>-1076.8906249999998</v>
      </c>
      <c r="AZ22" s="64">
        <f>-Assumptions!$B$34/12*(1+Assumptions!$B$11)^(AZ5-1)</f>
        <v>-1103.8128906249997</v>
      </c>
      <c r="BA22" s="64">
        <f>-Assumptions!$B$34/12*(1+Assumptions!$B$11)^(BA5-1)</f>
        <v>-1103.8128906249997</v>
      </c>
      <c r="BB22" s="64">
        <f>-Assumptions!$B$34/12*(1+Assumptions!$B$11)^(BB5-1)</f>
        <v>-1103.8128906249997</v>
      </c>
      <c r="BC22" s="64">
        <f>-Assumptions!$B$34/12*(1+Assumptions!$B$11)^(BC5-1)</f>
        <v>-1103.8128906249997</v>
      </c>
      <c r="BD22" s="64">
        <f>-Assumptions!$B$34/12*(1+Assumptions!$B$11)^(BD5-1)</f>
        <v>-1103.8128906249997</v>
      </c>
      <c r="BE22" s="64">
        <f>-Assumptions!$B$34/12*(1+Assumptions!$B$11)^(BE5-1)</f>
        <v>-1103.8128906249997</v>
      </c>
      <c r="BF22" s="64">
        <f>-Assumptions!$B$34/12*(1+Assumptions!$B$11)^(BF5-1)</f>
        <v>-1103.8128906249997</v>
      </c>
      <c r="BG22" s="64">
        <f>-Assumptions!$B$34/12*(1+Assumptions!$B$11)^(BG5-1)</f>
        <v>-1103.8128906249997</v>
      </c>
      <c r="BH22" s="64">
        <f>-Assumptions!$B$34/12*(1+Assumptions!$B$11)^(BH5-1)</f>
        <v>-1103.8128906249997</v>
      </c>
      <c r="BI22" s="64">
        <f>-Assumptions!$B$34/12*(1+Assumptions!$B$11)^(BI5-1)</f>
        <v>-1103.8128906249997</v>
      </c>
      <c r="BJ22" s="64">
        <f>-Assumptions!$B$34/12*(1+Assumptions!$B$11)^(BJ5-1)</f>
        <v>-1103.8128906249997</v>
      </c>
      <c r="BK22" s="64">
        <f>-Assumptions!$B$34/12*(1+Assumptions!$B$11)^(BK5-1)</f>
        <v>-1103.8128906249997</v>
      </c>
      <c r="BL22" s="64">
        <f>-Assumptions!$B$34/12*(1+Assumptions!$B$11)^(BL5-1)</f>
        <v>-1131.4082128906246</v>
      </c>
      <c r="BM22" s="64">
        <f>-Assumptions!$B$34/12*(1+Assumptions!$B$11)^(BM5-1)</f>
        <v>-1131.4082128906246</v>
      </c>
      <c r="BN22" s="64">
        <f>-Assumptions!$B$34/12*(1+Assumptions!$B$11)^(BN5-1)</f>
        <v>-1131.4082128906246</v>
      </c>
      <c r="BO22" s="64">
        <f>-Assumptions!$B$34/12*(1+Assumptions!$B$11)^(BO5-1)</f>
        <v>-1131.4082128906246</v>
      </c>
      <c r="BP22" s="64">
        <f>-Assumptions!$B$34/12*(1+Assumptions!$B$11)^(BP5-1)</f>
        <v>-1131.4082128906246</v>
      </c>
      <c r="BQ22" s="64">
        <f>-Assumptions!$B$34/12*(1+Assumptions!$B$11)^(BQ5-1)</f>
        <v>-1131.4082128906246</v>
      </c>
      <c r="BR22" s="64">
        <f>-Assumptions!$B$34/12*(1+Assumptions!$B$11)^(BR5-1)</f>
        <v>-1131.4082128906246</v>
      </c>
      <c r="BS22" s="64">
        <f>-Assumptions!$B$34/12*(1+Assumptions!$B$11)^(BS5-1)</f>
        <v>-1131.4082128906246</v>
      </c>
      <c r="BT22" s="64">
        <f>-Assumptions!$B$34/12*(1+Assumptions!$B$11)^(BT5-1)</f>
        <v>-1131.4082128906246</v>
      </c>
      <c r="BU22" s="64">
        <f>-Assumptions!$B$34/12*(1+Assumptions!$B$11)^(BU5-1)</f>
        <v>-1131.4082128906246</v>
      </c>
      <c r="BV22" s="64">
        <f>-Assumptions!$B$34/12*(1+Assumptions!$B$11)^(BV5-1)</f>
        <v>-1131.4082128906246</v>
      </c>
      <c r="BW22" s="64">
        <f>-Assumptions!$B$34/12*(1+Assumptions!$B$11)^(BW5-1)</f>
        <v>-1131.4082128906246</v>
      </c>
      <c r="BX22" s="64">
        <f>-Assumptions!$B$34/12*(1+Assumptions!$B$11)^(BX5-1)</f>
        <v>-1159.6934182128903</v>
      </c>
      <c r="BY22" s="64">
        <f>-Assumptions!$B$34/12*(1+Assumptions!$B$11)^(BY5-1)</f>
        <v>-1159.6934182128903</v>
      </c>
      <c r="BZ22" s="64">
        <f>-Assumptions!$B$34/12*(1+Assumptions!$B$11)^(BZ5-1)</f>
        <v>-1159.6934182128903</v>
      </c>
      <c r="CA22" s="64">
        <f>-Assumptions!$B$34/12*(1+Assumptions!$B$11)^(CA5-1)</f>
        <v>-1159.6934182128903</v>
      </c>
      <c r="CB22" s="64">
        <f>-Assumptions!$B$34/12*(1+Assumptions!$B$11)^(CB5-1)</f>
        <v>-1159.6934182128903</v>
      </c>
      <c r="CC22" s="64">
        <f>-Assumptions!$B$34/12*(1+Assumptions!$B$11)^(CC5-1)</f>
        <v>-1159.6934182128903</v>
      </c>
      <c r="CD22" s="64">
        <f>-Assumptions!$B$34/12*(1+Assumptions!$B$11)^(CD5-1)</f>
        <v>-1159.6934182128903</v>
      </c>
      <c r="CE22" s="64">
        <f>-Assumptions!$B$34/12*(1+Assumptions!$B$11)^(CE5-1)</f>
        <v>-1159.6934182128903</v>
      </c>
      <c r="CF22" s="64">
        <f>-Assumptions!$B$34/12*(1+Assumptions!$B$11)^(CF5-1)</f>
        <v>-1159.6934182128903</v>
      </c>
      <c r="CG22" s="64">
        <f>-Assumptions!$B$34/12*(1+Assumptions!$B$11)^(CG5-1)</f>
        <v>-1159.6934182128903</v>
      </c>
      <c r="CH22" s="64">
        <f>-Assumptions!$B$34/12*(1+Assumptions!$B$11)^(CH5-1)</f>
        <v>-1159.6934182128903</v>
      </c>
      <c r="CI22" s="64">
        <f>-Assumptions!$B$34/12*(1+Assumptions!$B$11)^(CI5-1)</f>
        <v>-1159.6934182128903</v>
      </c>
      <c r="CJ22" s="64">
        <f>-Assumptions!$B$34/12*(1+Assumptions!$B$11)^(CJ5-1)</f>
        <v>-1188.6857536682126</v>
      </c>
      <c r="CK22" s="64">
        <f>-Assumptions!$B$34/12*(1+Assumptions!$B$11)^(CK5-1)</f>
        <v>-1188.6857536682126</v>
      </c>
      <c r="CL22" s="64">
        <f>-Assumptions!$B$34/12*(1+Assumptions!$B$11)^(CL5-1)</f>
        <v>-1188.6857536682126</v>
      </c>
      <c r="CM22" s="64">
        <f>-Assumptions!$B$34/12*(1+Assumptions!$B$11)^(CM5-1)</f>
        <v>-1188.6857536682126</v>
      </c>
      <c r="CN22" s="64">
        <f>-Assumptions!$B$34/12*(1+Assumptions!$B$11)^(CN5-1)</f>
        <v>-1188.6857536682126</v>
      </c>
      <c r="CO22" s="64">
        <f>-Assumptions!$B$34/12*(1+Assumptions!$B$11)^(CO5-1)</f>
        <v>-1188.6857536682126</v>
      </c>
      <c r="CP22" s="64">
        <f>-Assumptions!$B$34/12*(1+Assumptions!$B$11)^(CP5-1)</f>
        <v>-1188.6857536682126</v>
      </c>
      <c r="CQ22" s="64">
        <f>-Assumptions!$B$34/12*(1+Assumptions!$B$11)^(CQ5-1)</f>
        <v>-1188.6857536682126</v>
      </c>
      <c r="CR22" s="64">
        <f>-Assumptions!$B$34/12*(1+Assumptions!$B$11)^(CR5-1)</f>
        <v>-1188.6857536682126</v>
      </c>
      <c r="CS22" s="64">
        <f>-Assumptions!$B$34/12*(1+Assumptions!$B$11)^(CS5-1)</f>
        <v>-1188.6857536682126</v>
      </c>
      <c r="CT22" s="64">
        <f>-Assumptions!$B$34/12*(1+Assumptions!$B$11)^(CT5-1)</f>
        <v>-1188.6857536682126</v>
      </c>
      <c r="CU22" s="64">
        <f>-Assumptions!$B$34/12*(1+Assumptions!$B$11)^(CU5-1)</f>
        <v>-1188.6857536682126</v>
      </c>
      <c r="CV22" s="64">
        <f>-Assumptions!$B$34/12*(1+Assumptions!$B$11)^(CV5-1)</f>
        <v>-1218.4028975099177</v>
      </c>
      <c r="CW22" s="64">
        <f>-Assumptions!$B$34/12*(1+Assumptions!$B$11)^(CW5-1)</f>
        <v>-1218.4028975099177</v>
      </c>
      <c r="CX22" s="64">
        <f>-Assumptions!$B$34/12*(1+Assumptions!$B$11)^(CX5-1)</f>
        <v>-1218.4028975099177</v>
      </c>
      <c r="CY22" s="64">
        <f>-Assumptions!$B$34/12*(1+Assumptions!$B$11)^(CY5-1)</f>
        <v>-1218.4028975099177</v>
      </c>
      <c r="CZ22" s="64">
        <f>-Assumptions!$B$34/12*(1+Assumptions!$B$11)^(CZ5-1)</f>
        <v>-1218.4028975099177</v>
      </c>
      <c r="DA22" s="64">
        <f>-Assumptions!$B$34/12*(1+Assumptions!$B$11)^(DA5-1)</f>
        <v>-1218.4028975099177</v>
      </c>
      <c r="DB22" s="64">
        <f>-Assumptions!$B$34/12*(1+Assumptions!$B$11)^(DB5-1)</f>
        <v>-1218.4028975099177</v>
      </c>
      <c r="DC22" s="64">
        <f>-Assumptions!$B$34/12*(1+Assumptions!$B$11)^(DC5-1)</f>
        <v>-1218.4028975099177</v>
      </c>
      <c r="DD22" s="64">
        <f>-Assumptions!$B$34/12*(1+Assumptions!$B$11)^(DD5-1)</f>
        <v>-1218.4028975099177</v>
      </c>
      <c r="DE22" s="64">
        <f>-Assumptions!$B$34/12*(1+Assumptions!$B$11)^(DE5-1)</f>
        <v>-1218.4028975099177</v>
      </c>
      <c r="DF22" s="64">
        <f>-Assumptions!$B$34/12*(1+Assumptions!$B$11)^(DF5-1)</f>
        <v>-1218.4028975099177</v>
      </c>
      <c r="DG22" s="64">
        <f>-Assumptions!$B$34/12*(1+Assumptions!$B$11)^(DG5-1)</f>
        <v>-1218.4028975099177</v>
      </c>
      <c r="DH22" s="64">
        <f>-Assumptions!$B$34/12*(1+Assumptions!$B$11)^(DH5-1)</f>
        <v>-1248.8629699476655</v>
      </c>
      <c r="DI22" s="64">
        <f>-Assumptions!$B$34/12*(1+Assumptions!$B$11)^(DI5-1)</f>
        <v>-1248.8629699476655</v>
      </c>
      <c r="DJ22" s="64">
        <f>-Assumptions!$B$34/12*(1+Assumptions!$B$11)^(DJ5-1)</f>
        <v>-1248.8629699476655</v>
      </c>
      <c r="DK22" s="64">
        <f>-Assumptions!$B$34/12*(1+Assumptions!$B$11)^(DK5-1)</f>
        <v>-1248.8629699476655</v>
      </c>
      <c r="DL22" s="64">
        <f>-Assumptions!$B$34/12*(1+Assumptions!$B$11)^(DL5-1)</f>
        <v>-1248.8629699476655</v>
      </c>
      <c r="DM22" s="64">
        <f>-Assumptions!$B$34/12*(1+Assumptions!$B$11)^(DM5-1)</f>
        <v>-1248.8629699476655</v>
      </c>
      <c r="DN22" s="64">
        <f>-Assumptions!$B$34/12*(1+Assumptions!$B$11)^(DN5-1)</f>
        <v>-1248.8629699476655</v>
      </c>
      <c r="DO22" s="64">
        <f>-Assumptions!$B$34/12*(1+Assumptions!$B$11)^(DO5-1)</f>
        <v>-1248.8629699476655</v>
      </c>
      <c r="DP22" s="64">
        <f>-Assumptions!$B$34/12*(1+Assumptions!$B$11)^(DP5-1)</f>
        <v>-1248.8629699476655</v>
      </c>
      <c r="DQ22" s="64">
        <f>-Assumptions!$B$34/12*(1+Assumptions!$B$11)^(DQ5-1)</f>
        <v>-1248.8629699476655</v>
      </c>
      <c r="DR22" s="64">
        <f>-Assumptions!$B$34/12*(1+Assumptions!$B$11)^(DR5-1)</f>
        <v>-1248.8629699476655</v>
      </c>
      <c r="DS22" s="64">
        <f>-Assumptions!$B$34/12*(1+Assumptions!$B$11)^(DS5-1)</f>
        <v>-1248.8629699476655</v>
      </c>
    </row>
    <row r="23" spans="1:123" x14ac:dyDescent="0.25">
      <c r="A23" s="1" t="s">
        <v>88</v>
      </c>
      <c r="D23" s="64">
        <f>-Assumptions!$B$35/12*(1+Assumptions!$B$11)^(D5-1)</f>
        <v>-250</v>
      </c>
      <c r="E23" s="64">
        <f>-Assumptions!$B$35/12*(1+Assumptions!$B$11)^(E5-1)</f>
        <v>-250</v>
      </c>
      <c r="F23" s="64">
        <f>-Assumptions!$B$35/12*(1+Assumptions!$B$11)^(F5-1)</f>
        <v>-250</v>
      </c>
      <c r="G23" s="64">
        <f>-Assumptions!$B$35/12*(1+Assumptions!$B$11)^(G5-1)</f>
        <v>-250</v>
      </c>
      <c r="H23" s="64">
        <f>-Assumptions!$B$35/12*(1+Assumptions!$B$11)^(H5-1)</f>
        <v>-250</v>
      </c>
      <c r="I23" s="64">
        <f>-Assumptions!$B$35/12*(1+Assumptions!$B$11)^(I5-1)</f>
        <v>-250</v>
      </c>
      <c r="J23" s="64">
        <f>-Assumptions!$B$35/12*(1+Assumptions!$B$11)^(J5-1)</f>
        <v>-250</v>
      </c>
      <c r="K23" s="64">
        <f>-Assumptions!$B$35/12*(1+Assumptions!$B$11)^(K5-1)</f>
        <v>-250</v>
      </c>
      <c r="L23" s="64">
        <f>-Assumptions!$B$35/12*(1+Assumptions!$B$11)^(L5-1)</f>
        <v>-250</v>
      </c>
      <c r="M23" s="64">
        <f>-Assumptions!$B$35/12*(1+Assumptions!$B$11)^(M5-1)</f>
        <v>-250</v>
      </c>
      <c r="N23" s="64">
        <f>-Assumptions!$B$35/12*(1+Assumptions!$B$11)^(N5-1)</f>
        <v>-250</v>
      </c>
      <c r="O23" s="64">
        <f>-Assumptions!$B$35/12*(1+Assumptions!$B$11)^(O5-1)</f>
        <v>-250</v>
      </c>
      <c r="P23" s="64">
        <f>-Assumptions!$B$35/12*(1+Assumptions!$B$11)^(P5-1)</f>
        <v>-256.25</v>
      </c>
      <c r="Q23" s="64">
        <f>-Assumptions!$B$35/12*(1+Assumptions!$B$11)^(Q5-1)</f>
        <v>-256.25</v>
      </c>
      <c r="R23" s="64">
        <f>-Assumptions!$B$35/12*(1+Assumptions!$B$11)^(R5-1)</f>
        <v>-256.25</v>
      </c>
      <c r="S23" s="64">
        <f>-Assumptions!$B$35/12*(1+Assumptions!$B$11)^(S5-1)</f>
        <v>-256.25</v>
      </c>
      <c r="T23" s="64">
        <f>-Assumptions!$B$35/12*(1+Assumptions!$B$11)^(T5-1)</f>
        <v>-256.25</v>
      </c>
      <c r="U23" s="64">
        <f>-Assumptions!$B$35/12*(1+Assumptions!$B$11)^(U5-1)</f>
        <v>-256.25</v>
      </c>
      <c r="V23" s="64">
        <f>-Assumptions!$B$35/12*(1+Assumptions!$B$11)^(V5-1)</f>
        <v>-256.25</v>
      </c>
      <c r="W23" s="64">
        <f>-Assumptions!$B$35/12*(1+Assumptions!$B$11)^(W5-1)</f>
        <v>-256.25</v>
      </c>
      <c r="X23" s="64">
        <f>-Assumptions!$B$35/12*(1+Assumptions!$B$11)^(X5-1)</f>
        <v>-256.25</v>
      </c>
      <c r="Y23" s="64">
        <f>-Assumptions!$B$35/12*(1+Assumptions!$B$11)^(Y5-1)</f>
        <v>-256.25</v>
      </c>
      <c r="Z23" s="64">
        <f>-Assumptions!$B$35/12*(1+Assumptions!$B$11)^(Z5-1)</f>
        <v>-256.25</v>
      </c>
      <c r="AA23" s="64">
        <f>-Assumptions!$B$35/12*(1+Assumptions!$B$11)^(AA5-1)</f>
        <v>-256.25</v>
      </c>
      <c r="AB23" s="64">
        <f>-Assumptions!$B$35/12*(1+Assumptions!$B$11)^(AB5-1)</f>
        <v>-262.65625</v>
      </c>
      <c r="AC23" s="64">
        <f>-Assumptions!$B$35/12*(1+Assumptions!$B$11)^(AC5-1)</f>
        <v>-262.65625</v>
      </c>
      <c r="AD23" s="64">
        <f>-Assumptions!$B$35/12*(1+Assumptions!$B$11)^(AD5-1)</f>
        <v>-262.65625</v>
      </c>
      <c r="AE23" s="64">
        <f>-Assumptions!$B$35/12*(1+Assumptions!$B$11)^(AE5-1)</f>
        <v>-262.65625</v>
      </c>
      <c r="AF23" s="64">
        <f>-Assumptions!$B$35/12*(1+Assumptions!$B$11)^(AF5-1)</f>
        <v>-262.65625</v>
      </c>
      <c r="AG23" s="64">
        <f>-Assumptions!$B$35/12*(1+Assumptions!$B$11)^(AG5-1)</f>
        <v>-262.65625</v>
      </c>
      <c r="AH23" s="64">
        <f>-Assumptions!$B$35/12*(1+Assumptions!$B$11)^(AH5-1)</f>
        <v>-262.65625</v>
      </c>
      <c r="AI23" s="64">
        <f>-Assumptions!$B$35/12*(1+Assumptions!$B$11)^(AI5-1)</f>
        <v>-262.65625</v>
      </c>
      <c r="AJ23" s="64">
        <f>-Assumptions!$B$35/12*(1+Assumptions!$B$11)^(AJ5-1)</f>
        <v>-262.65625</v>
      </c>
      <c r="AK23" s="64">
        <f>-Assumptions!$B$35/12*(1+Assumptions!$B$11)^(AK5-1)</f>
        <v>-262.65625</v>
      </c>
      <c r="AL23" s="64">
        <f>-Assumptions!$B$35/12*(1+Assumptions!$B$11)^(AL5-1)</f>
        <v>-262.65625</v>
      </c>
      <c r="AM23" s="64">
        <f>-Assumptions!$B$35/12*(1+Assumptions!$B$11)^(AM5-1)</f>
        <v>-262.65625</v>
      </c>
      <c r="AN23" s="64">
        <f>-Assumptions!$B$35/12*(1+Assumptions!$B$11)^(AN5-1)</f>
        <v>-269.22265624999994</v>
      </c>
      <c r="AO23" s="64">
        <f>-Assumptions!$B$35/12*(1+Assumptions!$B$11)^(AO5-1)</f>
        <v>-269.22265624999994</v>
      </c>
      <c r="AP23" s="64">
        <f>-Assumptions!$B$35/12*(1+Assumptions!$B$11)^(AP5-1)</f>
        <v>-269.22265624999994</v>
      </c>
      <c r="AQ23" s="64">
        <f>-Assumptions!$B$35/12*(1+Assumptions!$B$11)^(AQ5-1)</f>
        <v>-269.22265624999994</v>
      </c>
      <c r="AR23" s="64">
        <f>-Assumptions!$B$35/12*(1+Assumptions!$B$11)^(AR5-1)</f>
        <v>-269.22265624999994</v>
      </c>
      <c r="AS23" s="64">
        <f>-Assumptions!$B$35/12*(1+Assumptions!$B$11)^(AS5-1)</f>
        <v>-269.22265624999994</v>
      </c>
      <c r="AT23" s="64">
        <f>-Assumptions!$B$35/12*(1+Assumptions!$B$11)^(AT5-1)</f>
        <v>-269.22265624999994</v>
      </c>
      <c r="AU23" s="64">
        <f>-Assumptions!$B$35/12*(1+Assumptions!$B$11)^(AU5-1)</f>
        <v>-269.22265624999994</v>
      </c>
      <c r="AV23" s="64">
        <f>-Assumptions!$B$35/12*(1+Assumptions!$B$11)^(AV5-1)</f>
        <v>-269.22265624999994</v>
      </c>
      <c r="AW23" s="64">
        <f>-Assumptions!$B$35/12*(1+Assumptions!$B$11)^(AW5-1)</f>
        <v>-269.22265624999994</v>
      </c>
      <c r="AX23" s="64">
        <f>-Assumptions!$B$35/12*(1+Assumptions!$B$11)^(AX5-1)</f>
        <v>-269.22265624999994</v>
      </c>
      <c r="AY23" s="64">
        <f>-Assumptions!$B$35/12*(1+Assumptions!$B$11)^(AY5-1)</f>
        <v>-269.22265624999994</v>
      </c>
      <c r="AZ23" s="64">
        <f>-Assumptions!$B$35/12*(1+Assumptions!$B$11)^(AZ5-1)</f>
        <v>-275.95322265624992</v>
      </c>
      <c r="BA23" s="64">
        <f>-Assumptions!$B$35/12*(1+Assumptions!$B$11)^(BA5-1)</f>
        <v>-275.95322265624992</v>
      </c>
      <c r="BB23" s="64">
        <f>-Assumptions!$B$35/12*(1+Assumptions!$B$11)^(BB5-1)</f>
        <v>-275.95322265624992</v>
      </c>
      <c r="BC23" s="64">
        <f>-Assumptions!$B$35/12*(1+Assumptions!$B$11)^(BC5-1)</f>
        <v>-275.95322265624992</v>
      </c>
      <c r="BD23" s="64">
        <f>-Assumptions!$B$35/12*(1+Assumptions!$B$11)^(BD5-1)</f>
        <v>-275.95322265624992</v>
      </c>
      <c r="BE23" s="64">
        <f>-Assumptions!$B$35/12*(1+Assumptions!$B$11)^(BE5-1)</f>
        <v>-275.95322265624992</v>
      </c>
      <c r="BF23" s="64">
        <f>-Assumptions!$B$35/12*(1+Assumptions!$B$11)^(BF5-1)</f>
        <v>-275.95322265624992</v>
      </c>
      <c r="BG23" s="64">
        <f>-Assumptions!$B$35/12*(1+Assumptions!$B$11)^(BG5-1)</f>
        <v>-275.95322265624992</v>
      </c>
      <c r="BH23" s="64">
        <f>-Assumptions!$B$35/12*(1+Assumptions!$B$11)^(BH5-1)</f>
        <v>-275.95322265624992</v>
      </c>
      <c r="BI23" s="64">
        <f>-Assumptions!$B$35/12*(1+Assumptions!$B$11)^(BI5-1)</f>
        <v>-275.95322265624992</v>
      </c>
      <c r="BJ23" s="64">
        <f>-Assumptions!$B$35/12*(1+Assumptions!$B$11)^(BJ5-1)</f>
        <v>-275.95322265624992</v>
      </c>
      <c r="BK23" s="64">
        <f>-Assumptions!$B$35/12*(1+Assumptions!$B$11)^(BK5-1)</f>
        <v>-275.95322265624992</v>
      </c>
      <c r="BL23" s="64">
        <f>-Assumptions!$B$35/12*(1+Assumptions!$B$11)^(BL5-1)</f>
        <v>-282.85205322265614</v>
      </c>
      <c r="BM23" s="64">
        <f>-Assumptions!$B$35/12*(1+Assumptions!$B$11)^(BM5-1)</f>
        <v>-282.85205322265614</v>
      </c>
      <c r="BN23" s="64">
        <f>-Assumptions!$B$35/12*(1+Assumptions!$B$11)^(BN5-1)</f>
        <v>-282.85205322265614</v>
      </c>
      <c r="BO23" s="64">
        <f>-Assumptions!$B$35/12*(1+Assumptions!$B$11)^(BO5-1)</f>
        <v>-282.85205322265614</v>
      </c>
      <c r="BP23" s="64">
        <f>-Assumptions!$B$35/12*(1+Assumptions!$B$11)^(BP5-1)</f>
        <v>-282.85205322265614</v>
      </c>
      <c r="BQ23" s="64">
        <f>-Assumptions!$B$35/12*(1+Assumptions!$B$11)^(BQ5-1)</f>
        <v>-282.85205322265614</v>
      </c>
      <c r="BR23" s="64">
        <f>-Assumptions!$B$35/12*(1+Assumptions!$B$11)^(BR5-1)</f>
        <v>-282.85205322265614</v>
      </c>
      <c r="BS23" s="64">
        <f>-Assumptions!$B$35/12*(1+Assumptions!$B$11)^(BS5-1)</f>
        <v>-282.85205322265614</v>
      </c>
      <c r="BT23" s="64">
        <f>-Assumptions!$B$35/12*(1+Assumptions!$B$11)^(BT5-1)</f>
        <v>-282.85205322265614</v>
      </c>
      <c r="BU23" s="64">
        <f>-Assumptions!$B$35/12*(1+Assumptions!$B$11)^(BU5-1)</f>
        <v>-282.85205322265614</v>
      </c>
      <c r="BV23" s="64">
        <f>-Assumptions!$B$35/12*(1+Assumptions!$B$11)^(BV5-1)</f>
        <v>-282.85205322265614</v>
      </c>
      <c r="BW23" s="64">
        <f>-Assumptions!$B$35/12*(1+Assumptions!$B$11)^(BW5-1)</f>
        <v>-282.85205322265614</v>
      </c>
      <c r="BX23" s="64">
        <f>-Assumptions!$B$35/12*(1+Assumptions!$B$11)^(BX5-1)</f>
        <v>-289.92335455322257</v>
      </c>
      <c r="BY23" s="64">
        <f>-Assumptions!$B$35/12*(1+Assumptions!$B$11)^(BY5-1)</f>
        <v>-289.92335455322257</v>
      </c>
      <c r="BZ23" s="64">
        <f>-Assumptions!$B$35/12*(1+Assumptions!$B$11)^(BZ5-1)</f>
        <v>-289.92335455322257</v>
      </c>
      <c r="CA23" s="64">
        <f>-Assumptions!$B$35/12*(1+Assumptions!$B$11)^(CA5-1)</f>
        <v>-289.92335455322257</v>
      </c>
      <c r="CB23" s="64">
        <f>-Assumptions!$B$35/12*(1+Assumptions!$B$11)^(CB5-1)</f>
        <v>-289.92335455322257</v>
      </c>
      <c r="CC23" s="64">
        <f>-Assumptions!$B$35/12*(1+Assumptions!$B$11)^(CC5-1)</f>
        <v>-289.92335455322257</v>
      </c>
      <c r="CD23" s="64">
        <f>-Assumptions!$B$35/12*(1+Assumptions!$B$11)^(CD5-1)</f>
        <v>-289.92335455322257</v>
      </c>
      <c r="CE23" s="64">
        <f>-Assumptions!$B$35/12*(1+Assumptions!$B$11)^(CE5-1)</f>
        <v>-289.92335455322257</v>
      </c>
      <c r="CF23" s="64">
        <f>-Assumptions!$B$35/12*(1+Assumptions!$B$11)^(CF5-1)</f>
        <v>-289.92335455322257</v>
      </c>
      <c r="CG23" s="64">
        <f>-Assumptions!$B$35/12*(1+Assumptions!$B$11)^(CG5-1)</f>
        <v>-289.92335455322257</v>
      </c>
      <c r="CH23" s="64">
        <f>-Assumptions!$B$35/12*(1+Assumptions!$B$11)^(CH5-1)</f>
        <v>-289.92335455322257</v>
      </c>
      <c r="CI23" s="64">
        <f>-Assumptions!$B$35/12*(1+Assumptions!$B$11)^(CI5-1)</f>
        <v>-289.92335455322257</v>
      </c>
      <c r="CJ23" s="64">
        <f>-Assumptions!$B$35/12*(1+Assumptions!$B$11)^(CJ5-1)</f>
        <v>-297.17143841705314</v>
      </c>
      <c r="CK23" s="64">
        <f>-Assumptions!$B$35/12*(1+Assumptions!$B$11)^(CK5-1)</f>
        <v>-297.17143841705314</v>
      </c>
      <c r="CL23" s="64">
        <f>-Assumptions!$B$35/12*(1+Assumptions!$B$11)^(CL5-1)</f>
        <v>-297.17143841705314</v>
      </c>
      <c r="CM23" s="64">
        <f>-Assumptions!$B$35/12*(1+Assumptions!$B$11)^(CM5-1)</f>
        <v>-297.17143841705314</v>
      </c>
      <c r="CN23" s="64">
        <f>-Assumptions!$B$35/12*(1+Assumptions!$B$11)^(CN5-1)</f>
        <v>-297.17143841705314</v>
      </c>
      <c r="CO23" s="64">
        <f>-Assumptions!$B$35/12*(1+Assumptions!$B$11)^(CO5-1)</f>
        <v>-297.17143841705314</v>
      </c>
      <c r="CP23" s="64">
        <f>-Assumptions!$B$35/12*(1+Assumptions!$B$11)^(CP5-1)</f>
        <v>-297.17143841705314</v>
      </c>
      <c r="CQ23" s="64">
        <f>-Assumptions!$B$35/12*(1+Assumptions!$B$11)^(CQ5-1)</f>
        <v>-297.17143841705314</v>
      </c>
      <c r="CR23" s="64">
        <f>-Assumptions!$B$35/12*(1+Assumptions!$B$11)^(CR5-1)</f>
        <v>-297.17143841705314</v>
      </c>
      <c r="CS23" s="64">
        <f>-Assumptions!$B$35/12*(1+Assumptions!$B$11)^(CS5-1)</f>
        <v>-297.17143841705314</v>
      </c>
      <c r="CT23" s="64">
        <f>-Assumptions!$B$35/12*(1+Assumptions!$B$11)^(CT5-1)</f>
        <v>-297.17143841705314</v>
      </c>
      <c r="CU23" s="64">
        <f>-Assumptions!$B$35/12*(1+Assumptions!$B$11)^(CU5-1)</f>
        <v>-297.17143841705314</v>
      </c>
      <c r="CV23" s="64">
        <f>-Assumptions!$B$35/12*(1+Assumptions!$B$11)^(CV5-1)</f>
        <v>-304.60072437747942</v>
      </c>
      <c r="CW23" s="64">
        <f>-Assumptions!$B$35/12*(1+Assumptions!$B$11)^(CW5-1)</f>
        <v>-304.60072437747942</v>
      </c>
      <c r="CX23" s="64">
        <f>-Assumptions!$B$35/12*(1+Assumptions!$B$11)^(CX5-1)</f>
        <v>-304.60072437747942</v>
      </c>
      <c r="CY23" s="64">
        <f>-Assumptions!$B$35/12*(1+Assumptions!$B$11)^(CY5-1)</f>
        <v>-304.60072437747942</v>
      </c>
      <c r="CZ23" s="64">
        <f>-Assumptions!$B$35/12*(1+Assumptions!$B$11)^(CZ5-1)</f>
        <v>-304.60072437747942</v>
      </c>
      <c r="DA23" s="64">
        <f>-Assumptions!$B$35/12*(1+Assumptions!$B$11)^(DA5-1)</f>
        <v>-304.60072437747942</v>
      </c>
      <c r="DB23" s="64">
        <f>-Assumptions!$B$35/12*(1+Assumptions!$B$11)^(DB5-1)</f>
        <v>-304.60072437747942</v>
      </c>
      <c r="DC23" s="64">
        <f>-Assumptions!$B$35/12*(1+Assumptions!$B$11)^(DC5-1)</f>
        <v>-304.60072437747942</v>
      </c>
      <c r="DD23" s="64">
        <f>-Assumptions!$B$35/12*(1+Assumptions!$B$11)^(DD5-1)</f>
        <v>-304.60072437747942</v>
      </c>
      <c r="DE23" s="64">
        <f>-Assumptions!$B$35/12*(1+Assumptions!$B$11)^(DE5-1)</f>
        <v>-304.60072437747942</v>
      </c>
      <c r="DF23" s="64">
        <f>-Assumptions!$B$35/12*(1+Assumptions!$B$11)^(DF5-1)</f>
        <v>-304.60072437747942</v>
      </c>
      <c r="DG23" s="64">
        <f>-Assumptions!$B$35/12*(1+Assumptions!$B$11)^(DG5-1)</f>
        <v>-304.60072437747942</v>
      </c>
      <c r="DH23" s="64">
        <f>-Assumptions!$B$35/12*(1+Assumptions!$B$11)^(DH5-1)</f>
        <v>-312.21574248691638</v>
      </c>
      <c r="DI23" s="64">
        <f>-Assumptions!$B$35/12*(1+Assumptions!$B$11)^(DI5-1)</f>
        <v>-312.21574248691638</v>
      </c>
      <c r="DJ23" s="64">
        <f>-Assumptions!$B$35/12*(1+Assumptions!$B$11)^(DJ5-1)</f>
        <v>-312.21574248691638</v>
      </c>
      <c r="DK23" s="64">
        <f>-Assumptions!$B$35/12*(1+Assumptions!$B$11)^(DK5-1)</f>
        <v>-312.21574248691638</v>
      </c>
      <c r="DL23" s="64">
        <f>-Assumptions!$B$35/12*(1+Assumptions!$B$11)^(DL5-1)</f>
        <v>-312.21574248691638</v>
      </c>
      <c r="DM23" s="64">
        <f>-Assumptions!$B$35/12*(1+Assumptions!$B$11)^(DM5-1)</f>
        <v>-312.21574248691638</v>
      </c>
      <c r="DN23" s="64">
        <f>-Assumptions!$B$35/12*(1+Assumptions!$B$11)^(DN5-1)</f>
        <v>-312.21574248691638</v>
      </c>
      <c r="DO23" s="64">
        <f>-Assumptions!$B$35/12*(1+Assumptions!$B$11)^(DO5-1)</f>
        <v>-312.21574248691638</v>
      </c>
      <c r="DP23" s="64">
        <f>-Assumptions!$B$35/12*(1+Assumptions!$B$11)^(DP5-1)</f>
        <v>-312.21574248691638</v>
      </c>
      <c r="DQ23" s="64">
        <f>-Assumptions!$B$35/12*(1+Assumptions!$B$11)^(DQ5-1)</f>
        <v>-312.21574248691638</v>
      </c>
      <c r="DR23" s="64">
        <f>-Assumptions!$B$35/12*(1+Assumptions!$B$11)^(DR5-1)</f>
        <v>-312.21574248691638</v>
      </c>
      <c r="DS23" s="64">
        <f>-Assumptions!$B$35/12*(1+Assumptions!$B$11)^(DS5-1)</f>
        <v>-312.21574248691638</v>
      </c>
    </row>
    <row r="24" spans="1:123" x14ac:dyDescent="0.25">
      <c r="A24" s="1" t="s">
        <v>89</v>
      </c>
      <c r="D24" s="64">
        <f>-Assumptions!$B$36/12*(1+Assumptions!$B$11)^(D5-1)</f>
        <v>-2500</v>
      </c>
      <c r="E24" s="64">
        <f>-Assumptions!$B$36/12*(1+Assumptions!$B$11)^(E5-1)</f>
        <v>-2500</v>
      </c>
      <c r="F24" s="64">
        <f>-Assumptions!$B$36/12*(1+Assumptions!$B$11)^(F5-1)</f>
        <v>-2500</v>
      </c>
      <c r="G24" s="64">
        <f>-Assumptions!$B$36/12*(1+Assumptions!$B$11)^(G5-1)</f>
        <v>-2500</v>
      </c>
      <c r="H24" s="64">
        <f>-Assumptions!$B$36/12*(1+Assumptions!$B$11)^(H5-1)</f>
        <v>-2500</v>
      </c>
      <c r="I24" s="64">
        <f>-Assumptions!$B$36/12*(1+Assumptions!$B$11)^(I5-1)</f>
        <v>-2500</v>
      </c>
      <c r="J24" s="64">
        <f>-Assumptions!$B$36/12*(1+Assumptions!$B$11)^(J5-1)</f>
        <v>-2500</v>
      </c>
      <c r="K24" s="64">
        <f>-Assumptions!$B$36/12*(1+Assumptions!$B$11)^(K5-1)</f>
        <v>-2500</v>
      </c>
      <c r="L24" s="64">
        <f>-Assumptions!$B$36/12*(1+Assumptions!$B$11)^(L5-1)</f>
        <v>-2500</v>
      </c>
      <c r="M24" s="64">
        <f>-Assumptions!$B$36/12*(1+Assumptions!$B$11)^(M5-1)</f>
        <v>-2500</v>
      </c>
      <c r="N24" s="64">
        <f>-Assumptions!$B$36/12*(1+Assumptions!$B$11)^(N5-1)</f>
        <v>-2500</v>
      </c>
      <c r="O24" s="64">
        <f>-Assumptions!$B$36/12*(1+Assumptions!$B$11)^(O5-1)</f>
        <v>-2500</v>
      </c>
      <c r="P24" s="64">
        <f>-Assumptions!$B$36/12*(1+Assumptions!$B$11)^(P5-1)</f>
        <v>-2562.5</v>
      </c>
      <c r="Q24" s="64">
        <f>-Assumptions!$B$36/12*(1+Assumptions!$B$11)^(Q5-1)</f>
        <v>-2562.5</v>
      </c>
      <c r="R24" s="64">
        <f>-Assumptions!$B$36/12*(1+Assumptions!$B$11)^(R5-1)</f>
        <v>-2562.5</v>
      </c>
      <c r="S24" s="64">
        <f>-Assumptions!$B$36/12*(1+Assumptions!$B$11)^(S5-1)</f>
        <v>-2562.5</v>
      </c>
      <c r="T24" s="64">
        <f>-Assumptions!$B$36/12*(1+Assumptions!$B$11)^(T5-1)</f>
        <v>-2562.5</v>
      </c>
      <c r="U24" s="64">
        <f>-Assumptions!$B$36/12*(1+Assumptions!$B$11)^(U5-1)</f>
        <v>-2562.5</v>
      </c>
      <c r="V24" s="64">
        <f>-Assumptions!$B$36/12*(1+Assumptions!$B$11)^(V5-1)</f>
        <v>-2562.5</v>
      </c>
      <c r="W24" s="64">
        <f>-Assumptions!$B$36/12*(1+Assumptions!$B$11)^(W5-1)</f>
        <v>-2562.5</v>
      </c>
      <c r="X24" s="64">
        <f>-Assumptions!$B$36/12*(1+Assumptions!$B$11)^(X5-1)</f>
        <v>-2562.5</v>
      </c>
      <c r="Y24" s="64">
        <f>-Assumptions!$B$36/12*(1+Assumptions!$B$11)^(Y5-1)</f>
        <v>-2562.5</v>
      </c>
      <c r="Z24" s="64">
        <f>-Assumptions!$B$36/12*(1+Assumptions!$B$11)^(Z5-1)</f>
        <v>-2562.5</v>
      </c>
      <c r="AA24" s="64">
        <f>-Assumptions!$B$36/12*(1+Assumptions!$B$11)^(AA5-1)</f>
        <v>-2562.5</v>
      </c>
      <c r="AB24" s="64">
        <f>-Assumptions!$B$36/12*(1+Assumptions!$B$11)^(AB5-1)</f>
        <v>-2626.5625</v>
      </c>
      <c r="AC24" s="64">
        <f>-Assumptions!$B$36/12*(1+Assumptions!$B$11)^(AC5-1)</f>
        <v>-2626.5625</v>
      </c>
      <c r="AD24" s="64">
        <f>-Assumptions!$B$36/12*(1+Assumptions!$B$11)^(AD5-1)</f>
        <v>-2626.5625</v>
      </c>
      <c r="AE24" s="64">
        <f>-Assumptions!$B$36/12*(1+Assumptions!$B$11)^(AE5-1)</f>
        <v>-2626.5625</v>
      </c>
      <c r="AF24" s="64">
        <f>-Assumptions!$B$36/12*(1+Assumptions!$B$11)^(AF5-1)</f>
        <v>-2626.5625</v>
      </c>
      <c r="AG24" s="64">
        <f>-Assumptions!$B$36/12*(1+Assumptions!$B$11)^(AG5-1)</f>
        <v>-2626.5625</v>
      </c>
      <c r="AH24" s="64">
        <f>-Assumptions!$B$36/12*(1+Assumptions!$B$11)^(AH5-1)</f>
        <v>-2626.5625</v>
      </c>
      <c r="AI24" s="64">
        <f>-Assumptions!$B$36/12*(1+Assumptions!$B$11)^(AI5-1)</f>
        <v>-2626.5625</v>
      </c>
      <c r="AJ24" s="64">
        <f>-Assumptions!$B$36/12*(1+Assumptions!$B$11)^(AJ5-1)</f>
        <v>-2626.5625</v>
      </c>
      <c r="AK24" s="64">
        <f>-Assumptions!$B$36/12*(1+Assumptions!$B$11)^(AK5-1)</f>
        <v>-2626.5625</v>
      </c>
      <c r="AL24" s="64">
        <f>-Assumptions!$B$36/12*(1+Assumptions!$B$11)^(AL5-1)</f>
        <v>-2626.5625</v>
      </c>
      <c r="AM24" s="64">
        <f>-Assumptions!$B$36/12*(1+Assumptions!$B$11)^(AM5-1)</f>
        <v>-2626.5625</v>
      </c>
      <c r="AN24" s="64">
        <f>-Assumptions!$B$36/12*(1+Assumptions!$B$11)^(AN5-1)</f>
        <v>-2692.2265624999995</v>
      </c>
      <c r="AO24" s="64">
        <f>-Assumptions!$B$36/12*(1+Assumptions!$B$11)^(AO5-1)</f>
        <v>-2692.2265624999995</v>
      </c>
      <c r="AP24" s="64">
        <f>-Assumptions!$B$36/12*(1+Assumptions!$B$11)^(AP5-1)</f>
        <v>-2692.2265624999995</v>
      </c>
      <c r="AQ24" s="64">
        <f>-Assumptions!$B$36/12*(1+Assumptions!$B$11)^(AQ5-1)</f>
        <v>-2692.2265624999995</v>
      </c>
      <c r="AR24" s="64">
        <f>-Assumptions!$B$36/12*(1+Assumptions!$B$11)^(AR5-1)</f>
        <v>-2692.2265624999995</v>
      </c>
      <c r="AS24" s="64">
        <f>-Assumptions!$B$36/12*(1+Assumptions!$B$11)^(AS5-1)</f>
        <v>-2692.2265624999995</v>
      </c>
      <c r="AT24" s="64">
        <f>-Assumptions!$B$36/12*(1+Assumptions!$B$11)^(AT5-1)</f>
        <v>-2692.2265624999995</v>
      </c>
      <c r="AU24" s="64">
        <f>-Assumptions!$B$36/12*(1+Assumptions!$B$11)^(AU5-1)</f>
        <v>-2692.2265624999995</v>
      </c>
      <c r="AV24" s="64">
        <f>-Assumptions!$B$36/12*(1+Assumptions!$B$11)^(AV5-1)</f>
        <v>-2692.2265624999995</v>
      </c>
      <c r="AW24" s="64">
        <f>-Assumptions!$B$36/12*(1+Assumptions!$B$11)^(AW5-1)</f>
        <v>-2692.2265624999995</v>
      </c>
      <c r="AX24" s="64">
        <f>-Assumptions!$B$36/12*(1+Assumptions!$B$11)^(AX5-1)</f>
        <v>-2692.2265624999995</v>
      </c>
      <c r="AY24" s="64">
        <f>-Assumptions!$B$36/12*(1+Assumptions!$B$11)^(AY5-1)</f>
        <v>-2692.2265624999995</v>
      </c>
      <c r="AZ24" s="64">
        <f>-Assumptions!$B$36/12*(1+Assumptions!$B$11)^(AZ5-1)</f>
        <v>-2759.5322265624995</v>
      </c>
      <c r="BA24" s="64">
        <f>-Assumptions!$B$36/12*(1+Assumptions!$B$11)^(BA5-1)</f>
        <v>-2759.5322265624995</v>
      </c>
      <c r="BB24" s="64">
        <f>-Assumptions!$B$36/12*(1+Assumptions!$B$11)^(BB5-1)</f>
        <v>-2759.5322265624995</v>
      </c>
      <c r="BC24" s="64">
        <f>-Assumptions!$B$36/12*(1+Assumptions!$B$11)^(BC5-1)</f>
        <v>-2759.5322265624995</v>
      </c>
      <c r="BD24" s="64">
        <f>-Assumptions!$B$36/12*(1+Assumptions!$B$11)^(BD5-1)</f>
        <v>-2759.5322265624995</v>
      </c>
      <c r="BE24" s="64">
        <f>-Assumptions!$B$36/12*(1+Assumptions!$B$11)^(BE5-1)</f>
        <v>-2759.5322265624995</v>
      </c>
      <c r="BF24" s="64">
        <f>-Assumptions!$B$36/12*(1+Assumptions!$B$11)^(BF5-1)</f>
        <v>-2759.5322265624995</v>
      </c>
      <c r="BG24" s="64">
        <f>-Assumptions!$B$36/12*(1+Assumptions!$B$11)^(BG5-1)</f>
        <v>-2759.5322265624995</v>
      </c>
      <c r="BH24" s="64">
        <f>-Assumptions!$B$36/12*(1+Assumptions!$B$11)^(BH5-1)</f>
        <v>-2759.5322265624995</v>
      </c>
      <c r="BI24" s="64">
        <f>-Assumptions!$B$36/12*(1+Assumptions!$B$11)^(BI5-1)</f>
        <v>-2759.5322265624995</v>
      </c>
      <c r="BJ24" s="64">
        <f>-Assumptions!$B$36/12*(1+Assumptions!$B$11)^(BJ5-1)</f>
        <v>-2759.5322265624995</v>
      </c>
      <c r="BK24" s="64">
        <f>-Assumptions!$B$36/12*(1+Assumptions!$B$11)^(BK5-1)</f>
        <v>-2759.5322265624995</v>
      </c>
      <c r="BL24" s="64">
        <f>-Assumptions!$B$36/12*(1+Assumptions!$B$11)^(BL5-1)</f>
        <v>-2828.5205322265615</v>
      </c>
      <c r="BM24" s="64">
        <f>-Assumptions!$B$36/12*(1+Assumptions!$B$11)^(BM5-1)</f>
        <v>-2828.5205322265615</v>
      </c>
      <c r="BN24" s="64">
        <f>-Assumptions!$B$36/12*(1+Assumptions!$B$11)^(BN5-1)</f>
        <v>-2828.5205322265615</v>
      </c>
      <c r="BO24" s="64">
        <f>-Assumptions!$B$36/12*(1+Assumptions!$B$11)^(BO5-1)</f>
        <v>-2828.5205322265615</v>
      </c>
      <c r="BP24" s="64">
        <f>-Assumptions!$B$36/12*(1+Assumptions!$B$11)^(BP5-1)</f>
        <v>-2828.5205322265615</v>
      </c>
      <c r="BQ24" s="64">
        <f>-Assumptions!$B$36/12*(1+Assumptions!$B$11)^(BQ5-1)</f>
        <v>-2828.5205322265615</v>
      </c>
      <c r="BR24" s="64">
        <f>-Assumptions!$B$36/12*(1+Assumptions!$B$11)^(BR5-1)</f>
        <v>-2828.5205322265615</v>
      </c>
      <c r="BS24" s="64">
        <f>-Assumptions!$B$36/12*(1+Assumptions!$B$11)^(BS5-1)</f>
        <v>-2828.5205322265615</v>
      </c>
      <c r="BT24" s="64">
        <f>-Assumptions!$B$36/12*(1+Assumptions!$B$11)^(BT5-1)</f>
        <v>-2828.5205322265615</v>
      </c>
      <c r="BU24" s="64">
        <f>-Assumptions!$B$36/12*(1+Assumptions!$B$11)^(BU5-1)</f>
        <v>-2828.5205322265615</v>
      </c>
      <c r="BV24" s="64">
        <f>-Assumptions!$B$36/12*(1+Assumptions!$B$11)^(BV5-1)</f>
        <v>-2828.5205322265615</v>
      </c>
      <c r="BW24" s="64">
        <f>-Assumptions!$B$36/12*(1+Assumptions!$B$11)^(BW5-1)</f>
        <v>-2828.5205322265615</v>
      </c>
      <c r="BX24" s="64">
        <f>-Assumptions!$B$36/12*(1+Assumptions!$B$11)^(BX5-1)</f>
        <v>-2899.2335455322254</v>
      </c>
      <c r="BY24" s="64">
        <f>-Assumptions!$B$36/12*(1+Assumptions!$B$11)^(BY5-1)</f>
        <v>-2899.2335455322254</v>
      </c>
      <c r="BZ24" s="64">
        <f>-Assumptions!$B$36/12*(1+Assumptions!$B$11)^(BZ5-1)</f>
        <v>-2899.2335455322254</v>
      </c>
      <c r="CA24" s="64">
        <f>-Assumptions!$B$36/12*(1+Assumptions!$B$11)^(CA5-1)</f>
        <v>-2899.2335455322254</v>
      </c>
      <c r="CB24" s="64">
        <f>-Assumptions!$B$36/12*(1+Assumptions!$B$11)^(CB5-1)</f>
        <v>-2899.2335455322254</v>
      </c>
      <c r="CC24" s="64">
        <f>-Assumptions!$B$36/12*(1+Assumptions!$B$11)^(CC5-1)</f>
        <v>-2899.2335455322254</v>
      </c>
      <c r="CD24" s="64">
        <f>-Assumptions!$B$36/12*(1+Assumptions!$B$11)^(CD5-1)</f>
        <v>-2899.2335455322254</v>
      </c>
      <c r="CE24" s="64">
        <f>-Assumptions!$B$36/12*(1+Assumptions!$B$11)^(CE5-1)</f>
        <v>-2899.2335455322254</v>
      </c>
      <c r="CF24" s="64">
        <f>-Assumptions!$B$36/12*(1+Assumptions!$B$11)^(CF5-1)</f>
        <v>-2899.2335455322254</v>
      </c>
      <c r="CG24" s="64">
        <f>-Assumptions!$B$36/12*(1+Assumptions!$B$11)^(CG5-1)</f>
        <v>-2899.2335455322254</v>
      </c>
      <c r="CH24" s="64">
        <f>-Assumptions!$B$36/12*(1+Assumptions!$B$11)^(CH5-1)</f>
        <v>-2899.2335455322254</v>
      </c>
      <c r="CI24" s="64">
        <f>-Assumptions!$B$36/12*(1+Assumptions!$B$11)^(CI5-1)</f>
        <v>-2899.2335455322254</v>
      </c>
      <c r="CJ24" s="64">
        <f>-Assumptions!$B$36/12*(1+Assumptions!$B$11)^(CJ5-1)</f>
        <v>-2971.714384170531</v>
      </c>
      <c r="CK24" s="64">
        <f>-Assumptions!$B$36/12*(1+Assumptions!$B$11)^(CK5-1)</f>
        <v>-2971.714384170531</v>
      </c>
      <c r="CL24" s="64">
        <f>-Assumptions!$B$36/12*(1+Assumptions!$B$11)^(CL5-1)</f>
        <v>-2971.714384170531</v>
      </c>
      <c r="CM24" s="64">
        <f>-Assumptions!$B$36/12*(1+Assumptions!$B$11)^(CM5-1)</f>
        <v>-2971.714384170531</v>
      </c>
      <c r="CN24" s="64">
        <f>-Assumptions!$B$36/12*(1+Assumptions!$B$11)^(CN5-1)</f>
        <v>-2971.714384170531</v>
      </c>
      <c r="CO24" s="64">
        <f>-Assumptions!$B$36/12*(1+Assumptions!$B$11)^(CO5-1)</f>
        <v>-2971.714384170531</v>
      </c>
      <c r="CP24" s="64">
        <f>-Assumptions!$B$36/12*(1+Assumptions!$B$11)^(CP5-1)</f>
        <v>-2971.714384170531</v>
      </c>
      <c r="CQ24" s="64">
        <f>-Assumptions!$B$36/12*(1+Assumptions!$B$11)^(CQ5-1)</f>
        <v>-2971.714384170531</v>
      </c>
      <c r="CR24" s="64">
        <f>-Assumptions!$B$36/12*(1+Assumptions!$B$11)^(CR5-1)</f>
        <v>-2971.714384170531</v>
      </c>
      <c r="CS24" s="64">
        <f>-Assumptions!$B$36/12*(1+Assumptions!$B$11)^(CS5-1)</f>
        <v>-2971.714384170531</v>
      </c>
      <c r="CT24" s="64">
        <f>-Assumptions!$B$36/12*(1+Assumptions!$B$11)^(CT5-1)</f>
        <v>-2971.714384170531</v>
      </c>
      <c r="CU24" s="64">
        <f>-Assumptions!$B$36/12*(1+Assumptions!$B$11)^(CU5-1)</f>
        <v>-2971.714384170531</v>
      </c>
      <c r="CV24" s="64">
        <f>-Assumptions!$B$36/12*(1+Assumptions!$B$11)^(CV5-1)</f>
        <v>-3046.0072437747945</v>
      </c>
      <c r="CW24" s="64">
        <f>-Assumptions!$B$36/12*(1+Assumptions!$B$11)^(CW5-1)</f>
        <v>-3046.0072437747945</v>
      </c>
      <c r="CX24" s="64">
        <f>-Assumptions!$B$36/12*(1+Assumptions!$B$11)^(CX5-1)</f>
        <v>-3046.0072437747945</v>
      </c>
      <c r="CY24" s="64">
        <f>-Assumptions!$B$36/12*(1+Assumptions!$B$11)^(CY5-1)</f>
        <v>-3046.0072437747945</v>
      </c>
      <c r="CZ24" s="64">
        <f>-Assumptions!$B$36/12*(1+Assumptions!$B$11)^(CZ5-1)</f>
        <v>-3046.0072437747945</v>
      </c>
      <c r="DA24" s="64">
        <f>-Assumptions!$B$36/12*(1+Assumptions!$B$11)^(DA5-1)</f>
        <v>-3046.0072437747945</v>
      </c>
      <c r="DB24" s="64">
        <f>-Assumptions!$B$36/12*(1+Assumptions!$B$11)^(DB5-1)</f>
        <v>-3046.0072437747945</v>
      </c>
      <c r="DC24" s="64">
        <f>-Assumptions!$B$36/12*(1+Assumptions!$B$11)^(DC5-1)</f>
        <v>-3046.0072437747945</v>
      </c>
      <c r="DD24" s="64">
        <f>-Assumptions!$B$36/12*(1+Assumptions!$B$11)^(DD5-1)</f>
        <v>-3046.0072437747945</v>
      </c>
      <c r="DE24" s="64">
        <f>-Assumptions!$B$36/12*(1+Assumptions!$B$11)^(DE5-1)</f>
        <v>-3046.0072437747945</v>
      </c>
      <c r="DF24" s="64">
        <f>-Assumptions!$B$36/12*(1+Assumptions!$B$11)^(DF5-1)</f>
        <v>-3046.0072437747945</v>
      </c>
      <c r="DG24" s="64">
        <f>-Assumptions!$B$36/12*(1+Assumptions!$B$11)^(DG5-1)</f>
        <v>-3046.0072437747945</v>
      </c>
      <c r="DH24" s="64">
        <f>-Assumptions!$B$36/12*(1+Assumptions!$B$11)^(DH5-1)</f>
        <v>-3122.1574248691636</v>
      </c>
      <c r="DI24" s="64">
        <f>-Assumptions!$B$36/12*(1+Assumptions!$B$11)^(DI5-1)</f>
        <v>-3122.1574248691636</v>
      </c>
      <c r="DJ24" s="64">
        <f>-Assumptions!$B$36/12*(1+Assumptions!$B$11)^(DJ5-1)</f>
        <v>-3122.1574248691636</v>
      </c>
      <c r="DK24" s="64">
        <f>-Assumptions!$B$36/12*(1+Assumptions!$B$11)^(DK5-1)</f>
        <v>-3122.1574248691636</v>
      </c>
      <c r="DL24" s="64">
        <f>-Assumptions!$B$36/12*(1+Assumptions!$B$11)^(DL5-1)</f>
        <v>-3122.1574248691636</v>
      </c>
      <c r="DM24" s="64">
        <f>-Assumptions!$B$36/12*(1+Assumptions!$B$11)^(DM5-1)</f>
        <v>-3122.1574248691636</v>
      </c>
      <c r="DN24" s="64">
        <f>-Assumptions!$B$36/12*(1+Assumptions!$B$11)^(DN5-1)</f>
        <v>-3122.1574248691636</v>
      </c>
      <c r="DO24" s="64">
        <f>-Assumptions!$B$36/12*(1+Assumptions!$B$11)^(DO5-1)</f>
        <v>-3122.1574248691636</v>
      </c>
      <c r="DP24" s="64">
        <f>-Assumptions!$B$36/12*(1+Assumptions!$B$11)^(DP5-1)</f>
        <v>-3122.1574248691636</v>
      </c>
      <c r="DQ24" s="64">
        <f>-Assumptions!$B$36/12*(1+Assumptions!$B$11)^(DQ5-1)</f>
        <v>-3122.1574248691636</v>
      </c>
      <c r="DR24" s="64">
        <f>-Assumptions!$B$36/12*(1+Assumptions!$B$11)^(DR5-1)</f>
        <v>-3122.1574248691636</v>
      </c>
      <c r="DS24" s="64">
        <f>-Assumptions!$B$36/12*(1+Assumptions!$B$11)^(DS5-1)</f>
        <v>-3122.1574248691636</v>
      </c>
    </row>
    <row r="25" spans="1:123" x14ac:dyDescent="0.25">
      <c r="A25" s="1" t="s">
        <v>90</v>
      </c>
      <c r="D25" s="64">
        <f>-Assumptions!$B$37/12*(1+Assumptions!$B$11)^(D5-1)</f>
        <v>-2083.3333333333335</v>
      </c>
      <c r="E25" s="64">
        <f>-Assumptions!$B$37/12*(1+Assumptions!$B$11)^(E5-1)</f>
        <v>-2083.3333333333335</v>
      </c>
      <c r="F25" s="64">
        <f>-Assumptions!$B$37/12*(1+Assumptions!$B$11)^(F5-1)</f>
        <v>-2083.3333333333335</v>
      </c>
      <c r="G25" s="64">
        <f>-Assumptions!$B$37/12*(1+Assumptions!$B$11)^(G5-1)</f>
        <v>-2083.3333333333335</v>
      </c>
      <c r="H25" s="64">
        <f>-Assumptions!$B$37/12*(1+Assumptions!$B$11)^(H5-1)</f>
        <v>-2083.3333333333335</v>
      </c>
      <c r="I25" s="64">
        <f>-Assumptions!$B$37/12*(1+Assumptions!$B$11)^(I5-1)</f>
        <v>-2083.3333333333335</v>
      </c>
      <c r="J25" s="64">
        <f>-Assumptions!$B$37/12*(1+Assumptions!$B$11)^(J5-1)</f>
        <v>-2083.3333333333335</v>
      </c>
      <c r="K25" s="64">
        <f>-Assumptions!$B$37/12*(1+Assumptions!$B$11)^(K5-1)</f>
        <v>-2083.3333333333335</v>
      </c>
      <c r="L25" s="64">
        <f>-Assumptions!$B$37/12*(1+Assumptions!$B$11)^(L5-1)</f>
        <v>-2083.3333333333335</v>
      </c>
      <c r="M25" s="64">
        <f>-Assumptions!$B$37/12*(1+Assumptions!$B$11)^(M5-1)</f>
        <v>-2083.3333333333335</v>
      </c>
      <c r="N25" s="64">
        <f>-Assumptions!$B$37/12*(1+Assumptions!$B$11)^(N5-1)</f>
        <v>-2083.3333333333335</v>
      </c>
      <c r="O25" s="64">
        <f>-Assumptions!$B$37/12*(1+Assumptions!$B$11)^(O5-1)</f>
        <v>-2083.3333333333335</v>
      </c>
      <c r="P25" s="64">
        <f>-Assumptions!$B$37/12*(1+Assumptions!$B$11)^(P5-1)</f>
        <v>-2135.4166666666665</v>
      </c>
      <c r="Q25" s="64">
        <f>-Assumptions!$B$37/12*(1+Assumptions!$B$11)^(Q5-1)</f>
        <v>-2135.4166666666665</v>
      </c>
      <c r="R25" s="64">
        <f>-Assumptions!$B$37/12*(1+Assumptions!$B$11)^(R5-1)</f>
        <v>-2135.4166666666665</v>
      </c>
      <c r="S25" s="64">
        <f>-Assumptions!$B$37/12*(1+Assumptions!$B$11)^(S5-1)</f>
        <v>-2135.4166666666665</v>
      </c>
      <c r="T25" s="64">
        <f>-Assumptions!$B$37/12*(1+Assumptions!$B$11)^(T5-1)</f>
        <v>-2135.4166666666665</v>
      </c>
      <c r="U25" s="64">
        <f>-Assumptions!$B$37/12*(1+Assumptions!$B$11)^(U5-1)</f>
        <v>-2135.4166666666665</v>
      </c>
      <c r="V25" s="64">
        <f>-Assumptions!$B$37/12*(1+Assumptions!$B$11)^(V5-1)</f>
        <v>-2135.4166666666665</v>
      </c>
      <c r="W25" s="64">
        <f>-Assumptions!$B$37/12*(1+Assumptions!$B$11)^(W5-1)</f>
        <v>-2135.4166666666665</v>
      </c>
      <c r="X25" s="64">
        <f>-Assumptions!$B$37/12*(1+Assumptions!$B$11)^(X5-1)</f>
        <v>-2135.4166666666665</v>
      </c>
      <c r="Y25" s="64">
        <f>-Assumptions!$B$37/12*(1+Assumptions!$B$11)^(Y5-1)</f>
        <v>-2135.4166666666665</v>
      </c>
      <c r="Z25" s="64">
        <f>-Assumptions!$B$37/12*(1+Assumptions!$B$11)^(Z5-1)</f>
        <v>-2135.4166666666665</v>
      </c>
      <c r="AA25" s="64">
        <f>-Assumptions!$B$37/12*(1+Assumptions!$B$11)^(AA5-1)</f>
        <v>-2135.4166666666665</v>
      </c>
      <c r="AB25" s="64">
        <f>-Assumptions!$B$37/12*(1+Assumptions!$B$11)^(AB5-1)</f>
        <v>-2188.8020833333335</v>
      </c>
      <c r="AC25" s="64">
        <f>-Assumptions!$B$37/12*(1+Assumptions!$B$11)^(AC5-1)</f>
        <v>-2188.8020833333335</v>
      </c>
      <c r="AD25" s="64">
        <f>-Assumptions!$B$37/12*(1+Assumptions!$B$11)^(AD5-1)</f>
        <v>-2188.8020833333335</v>
      </c>
      <c r="AE25" s="64">
        <f>-Assumptions!$B$37/12*(1+Assumptions!$B$11)^(AE5-1)</f>
        <v>-2188.8020833333335</v>
      </c>
      <c r="AF25" s="64">
        <f>-Assumptions!$B$37/12*(1+Assumptions!$B$11)^(AF5-1)</f>
        <v>-2188.8020833333335</v>
      </c>
      <c r="AG25" s="64">
        <f>-Assumptions!$B$37/12*(1+Assumptions!$B$11)^(AG5-1)</f>
        <v>-2188.8020833333335</v>
      </c>
      <c r="AH25" s="64">
        <f>-Assumptions!$B$37/12*(1+Assumptions!$B$11)^(AH5-1)</f>
        <v>-2188.8020833333335</v>
      </c>
      <c r="AI25" s="64">
        <f>-Assumptions!$B$37/12*(1+Assumptions!$B$11)^(AI5-1)</f>
        <v>-2188.8020833333335</v>
      </c>
      <c r="AJ25" s="64">
        <f>-Assumptions!$B$37/12*(1+Assumptions!$B$11)^(AJ5-1)</f>
        <v>-2188.8020833333335</v>
      </c>
      <c r="AK25" s="64">
        <f>-Assumptions!$B$37/12*(1+Assumptions!$B$11)^(AK5-1)</f>
        <v>-2188.8020833333335</v>
      </c>
      <c r="AL25" s="64">
        <f>-Assumptions!$B$37/12*(1+Assumptions!$B$11)^(AL5-1)</f>
        <v>-2188.8020833333335</v>
      </c>
      <c r="AM25" s="64">
        <f>-Assumptions!$B$37/12*(1+Assumptions!$B$11)^(AM5-1)</f>
        <v>-2188.8020833333335</v>
      </c>
      <c r="AN25" s="64">
        <f>-Assumptions!$B$37/12*(1+Assumptions!$B$11)^(AN5-1)</f>
        <v>-2243.5221354166665</v>
      </c>
      <c r="AO25" s="64">
        <f>-Assumptions!$B$37/12*(1+Assumptions!$B$11)^(AO5-1)</f>
        <v>-2243.5221354166665</v>
      </c>
      <c r="AP25" s="64">
        <f>-Assumptions!$B$37/12*(1+Assumptions!$B$11)^(AP5-1)</f>
        <v>-2243.5221354166665</v>
      </c>
      <c r="AQ25" s="64">
        <f>-Assumptions!$B$37/12*(1+Assumptions!$B$11)^(AQ5-1)</f>
        <v>-2243.5221354166665</v>
      </c>
      <c r="AR25" s="64">
        <f>-Assumptions!$B$37/12*(1+Assumptions!$B$11)^(AR5-1)</f>
        <v>-2243.5221354166665</v>
      </c>
      <c r="AS25" s="64">
        <f>-Assumptions!$B$37/12*(1+Assumptions!$B$11)^(AS5-1)</f>
        <v>-2243.5221354166665</v>
      </c>
      <c r="AT25" s="64">
        <f>-Assumptions!$B$37/12*(1+Assumptions!$B$11)^(AT5-1)</f>
        <v>-2243.5221354166665</v>
      </c>
      <c r="AU25" s="64">
        <f>-Assumptions!$B$37/12*(1+Assumptions!$B$11)^(AU5-1)</f>
        <v>-2243.5221354166665</v>
      </c>
      <c r="AV25" s="64">
        <f>-Assumptions!$B$37/12*(1+Assumptions!$B$11)^(AV5-1)</f>
        <v>-2243.5221354166665</v>
      </c>
      <c r="AW25" s="64">
        <f>-Assumptions!$B$37/12*(1+Assumptions!$B$11)^(AW5-1)</f>
        <v>-2243.5221354166665</v>
      </c>
      <c r="AX25" s="64">
        <f>-Assumptions!$B$37/12*(1+Assumptions!$B$11)^(AX5-1)</f>
        <v>-2243.5221354166665</v>
      </c>
      <c r="AY25" s="64">
        <f>-Assumptions!$B$37/12*(1+Assumptions!$B$11)^(AY5-1)</f>
        <v>-2243.5221354166665</v>
      </c>
      <c r="AZ25" s="64">
        <f>-Assumptions!$B$37/12*(1+Assumptions!$B$11)^(AZ5-1)</f>
        <v>-2299.610188802083</v>
      </c>
      <c r="BA25" s="64">
        <f>-Assumptions!$B$37/12*(1+Assumptions!$B$11)^(BA5-1)</f>
        <v>-2299.610188802083</v>
      </c>
      <c r="BB25" s="64">
        <f>-Assumptions!$B$37/12*(1+Assumptions!$B$11)^(BB5-1)</f>
        <v>-2299.610188802083</v>
      </c>
      <c r="BC25" s="64">
        <f>-Assumptions!$B$37/12*(1+Assumptions!$B$11)^(BC5-1)</f>
        <v>-2299.610188802083</v>
      </c>
      <c r="BD25" s="64">
        <f>-Assumptions!$B$37/12*(1+Assumptions!$B$11)^(BD5-1)</f>
        <v>-2299.610188802083</v>
      </c>
      <c r="BE25" s="64">
        <f>-Assumptions!$B$37/12*(1+Assumptions!$B$11)^(BE5-1)</f>
        <v>-2299.610188802083</v>
      </c>
      <c r="BF25" s="64">
        <f>-Assumptions!$B$37/12*(1+Assumptions!$B$11)^(BF5-1)</f>
        <v>-2299.610188802083</v>
      </c>
      <c r="BG25" s="64">
        <f>-Assumptions!$B$37/12*(1+Assumptions!$B$11)^(BG5-1)</f>
        <v>-2299.610188802083</v>
      </c>
      <c r="BH25" s="64">
        <f>-Assumptions!$B$37/12*(1+Assumptions!$B$11)^(BH5-1)</f>
        <v>-2299.610188802083</v>
      </c>
      <c r="BI25" s="64">
        <f>-Assumptions!$B$37/12*(1+Assumptions!$B$11)^(BI5-1)</f>
        <v>-2299.610188802083</v>
      </c>
      <c r="BJ25" s="64">
        <f>-Assumptions!$B$37/12*(1+Assumptions!$B$11)^(BJ5-1)</f>
        <v>-2299.610188802083</v>
      </c>
      <c r="BK25" s="64">
        <f>-Assumptions!$B$37/12*(1+Assumptions!$B$11)^(BK5-1)</f>
        <v>-2299.610188802083</v>
      </c>
      <c r="BL25" s="64">
        <f>-Assumptions!$B$37/12*(1+Assumptions!$B$11)^(BL5-1)</f>
        <v>-2357.1004435221348</v>
      </c>
      <c r="BM25" s="64">
        <f>-Assumptions!$B$37/12*(1+Assumptions!$B$11)^(BM5-1)</f>
        <v>-2357.1004435221348</v>
      </c>
      <c r="BN25" s="64">
        <f>-Assumptions!$B$37/12*(1+Assumptions!$B$11)^(BN5-1)</f>
        <v>-2357.1004435221348</v>
      </c>
      <c r="BO25" s="64">
        <f>-Assumptions!$B$37/12*(1+Assumptions!$B$11)^(BO5-1)</f>
        <v>-2357.1004435221348</v>
      </c>
      <c r="BP25" s="64">
        <f>-Assumptions!$B$37/12*(1+Assumptions!$B$11)^(BP5-1)</f>
        <v>-2357.1004435221348</v>
      </c>
      <c r="BQ25" s="64">
        <f>-Assumptions!$B$37/12*(1+Assumptions!$B$11)^(BQ5-1)</f>
        <v>-2357.1004435221348</v>
      </c>
      <c r="BR25" s="64">
        <f>-Assumptions!$B$37/12*(1+Assumptions!$B$11)^(BR5-1)</f>
        <v>-2357.1004435221348</v>
      </c>
      <c r="BS25" s="64">
        <f>-Assumptions!$B$37/12*(1+Assumptions!$B$11)^(BS5-1)</f>
        <v>-2357.1004435221348</v>
      </c>
      <c r="BT25" s="64">
        <f>-Assumptions!$B$37/12*(1+Assumptions!$B$11)^(BT5-1)</f>
        <v>-2357.1004435221348</v>
      </c>
      <c r="BU25" s="64">
        <f>-Assumptions!$B$37/12*(1+Assumptions!$B$11)^(BU5-1)</f>
        <v>-2357.1004435221348</v>
      </c>
      <c r="BV25" s="64">
        <f>-Assumptions!$B$37/12*(1+Assumptions!$B$11)^(BV5-1)</f>
        <v>-2357.1004435221348</v>
      </c>
      <c r="BW25" s="64">
        <f>-Assumptions!$B$37/12*(1+Assumptions!$B$11)^(BW5-1)</f>
        <v>-2357.1004435221348</v>
      </c>
      <c r="BX25" s="64">
        <f>-Assumptions!$B$37/12*(1+Assumptions!$B$11)^(BX5-1)</f>
        <v>-2416.0279546101879</v>
      </c>
      <c r="BY25" s="64">
        <f>-Assumptions!$B$37/12*(1+Assumptions!$B$11)^(BY5-1)</f>
        <v>-2416.0279546101879</v>
      </c>
      <c r="BZ25" s="64">
        <f>-Assumptions!$B$37/12*(1+Assumptions!$B$11)^(BZ5-1)</f>
        <v>-2416.0279546101879</v>
      </c>
      <c r="CA25" s="64">
        <f>-Assumptions!$B$37/12*(1+Assumptions!$B$11)^(CA5-1)</f>
        <v>-2416.0279546101879</v>
      </c>
      <c r="CB25" s="64">
        <f>-Assumptions!$B$37/12*(1+Assumptions!$B$11)^(CB5-1)</f>
        <v>-2416.0279546101879</v>
      </c>
      <c r="CC25" s="64">
        <f>-Assumptions!$B$37/12*(1+Assumptions!$B$11)^(CC5-1)</f>
        <v>-2416.0279546101879</v>
      </c>
      <c r="CD25" s="64">
        <f>-Assumptions!$B$37/12*(1+Assumptions!$B$11)^(CD5-1)</f>
        <v>-2416.0279546101879</v>
      </c>
      <c r="CE25" s="64">
        <f>-Assumptions!$B$37/12*(1+Assumptions!$B$11)^(CE5-1)</f>
        <v>-2416.0279546101879</v>
      </c>
      <c r="CF25" s="64">
        <f>-Assumptions!$B$37/12*(1+Assumptions!$B$11)^(CF5-1)</f>
        <v>-2416.0279546101879</v>
      </c>
      <c r="CG25" s="64">
        <f>-Assumptions!$B$37/12*(1+Assumptions!$B$11)^(CG5-1)</f>
        <v>-2416.0279546101879</v>
      </c>
      <c r="CH25" s="64">
        <f>-Assumptions!$B$37/12*(1+Assumptions!$B$11)^(CH5-1)</f>
        <v>-2416.0279546101879</v>
      </c>
      <c r="CI25" s="64">
        <f>-Assumptions!$B$37/12*(1+Assumptions!$B$11)^(CI5-1)</f>
        <v>-2416.0279546101879</v>
      </c>
      <c r="CJ25" s="64">
        <f>-Assumptions!$B$37/12*(1+Assumptions!$B$11)^(CJ5-1)</f>
        <v>-2476.4286534754428</v>
      </c>
      <c r="CK25" s="64">
        <f>-Assumptions!$B$37/12*(1+Assumptions!$B$11)^(CK5-1)</f>
        <v>-2476.4286534754428</v>
      </c>
      <c r="CL25" s="64">
        <f>-Assumptions!$B$37/12*(1+Assumptions!$B$11)^(CL5-1)</f>
        <v>-2476.4286534754428</v>
      </c>
      <c r="CM25" s="64">
        <f>-Assumptions!$B$37/12*(1+Assumptions!$B$11)^(CM5-1)</f>
        <v>-2476.4286534754428</v>
      </c>
      <c r="CN25" s="64">
        <f>-Assumptions!$B$37/12*(1+Assumptions!$B$11)^(CN5-1)</f>
        <v>-2476.4286534754428</v>
      </c>
      <c r="CO25" s="64">
        <f>-Assumptions!$B$37/12*(1+Assumptions!$B$11)^(CO5-1)</f>
        <v>-2476.4286534754428</v>
      </c>
      <c r="CP25" s="64">
        <f>-Assumptions!$B$37/12*(1+Assumptions!$B$11)^(CP5-1)</f>
        <v>-2476.4286534754428</v>
      </c>
      <c r="CQ25" s="64">
        <f>-Assumptions!$B$37/12*(1+Assumptions!$B$11)^(CQ5-1)</f>
        <v>-2476.4286534754428</v>
      </c>
      <c r="CR25" s="64">
        <f>-Assumptions!$B$37/12*(1+Assumptions!$B$11)^(CR5-1)</f>
        <v>-2476.4286534754428</v>
      </c>
      <c r="CS25" s="64">
        <f>-Assumptions!$B$37/12*(1+Assumptions!$B$11)^(CS5-1)</f>
        <v>-2476.4286534754428</v>
      </c>
      <c r="CT25" s="64">
        <f>-Assumptions!$B$37/12*(1+Assumptions!$B$11)^(CT5-1)</f>
        <v>-2476.4286534754428</v>
      </c>
      <c r="CU25" s="64">
        <f>-Assumptions!$B$37/12*(1+Assumptions!$B$11)^(CU5-1)</f>
        <v>-2476.4286534754428</v>
      </c>
      <c r="CV25" s="64">
        <f>-Assumptions!$B$37/12*(1+Assumptions!$B$11)^(CV5-1)</f>
        <v>-2538.3393698123286</v>
      </c>
      <c r="CW25" s="64">
        <f>-Assumptions!$B$37/12*(1+Assumptions!$B$11)^(CW5-1)</f>
        <v>-2538.3393698123286</v>
      </c>
      <c r="CX25" s="64">
        <f>-Assumptions!$B$37/12*(1+Assumptions!$B$11)^(CX5-1)</f>
        <v>-2538.3393698123286</v>
      </c>
      <c r="CY25" s="64">
        <f>-Assumptions!$B$37/12*(1+Assumptions!$B$11)^(CY5-1)</f>
        <v>-2538.3393698123286</v>
      </c>
      <c r="CZ25" s="64">
        <f>-Assumptions!$B$37/12*(1+Assumptions!$B$11)^(CZ5-1)</f>
        <v>-2538.3393698123286</v>
      </c>
      <c r="DA25" s="64">
        <f>-Assumptions!$B$37/12*(1+Assumptions!$B$11)^(DA5-1)</f>
        <v>-2538.3393698123286</v>
      </c>
      <c r="DB25" s="64">
        <f>-Assumptions!$B$37/12*(1+Assumptions!$B$11)^(DB5-1)</f>
        <v>-2538.3393698123286</v>
      </c>
      <c r="DC25" s="64">
        <f>-Assumptions!$B$37/12*(1+Assumptions!$B$11)^(DC5-1)</f>
        <v>-2538.3393698123286</v>
      </c>
      <c r="DD25" s="64">
        <f>-Assumptions!$B$37/12*(1+Assumptions!$B$11)^(DD5-1)</f>
        <v>-2538.3393698123286</v>
      </c>
      <c r="DE25" s="64">
        <f>-Assumptions!$B$37/12*(1+Assumptions!$B$11)^(DE5-1)</f>
        <v>-2538.3393698123286</v>
      </c>
      <c r="DF25" s="64">
        <f>-Assumptions!$B$37/12*(1+Assumptions!$B$11)^(DF5-1)</f>
        <v>-2538.3393698123286</v>
      </c>
      <c r="DG25" s="64">
        <f>-Assumptions!$B$37/12*(1+Assumptions!$B$11)^(DG5-1)</f>
        <v>-2538.3393698123286</v>
      </c>
      <c r="DH25" s="64">
        <f>-Assumptions!$B$37/12*(1+Assumptions!$B$11)^(DH5-1)</f>
        <v>-2601.7978540576364</v>
      </c>
      <c r="DI25" s="64">
        <f>-Assumptions!$B$37/12*(1+Assumptions!$B$11)^(DI5-1)</f>
        <v>-2601.7978540576364</v>
      </c>
      <c r="DJ25" s="64">
        <f>-Assumptions!$B$37/12*(1+Assumptions!$B$11)^(DJ5-1)</f>
        <v>-2601.7978540576364</v>
      </c>
      <c r="DK25" s="64">
        <f>-Assumptions!$B$37/12*(1+Assumptions!$B$11)^(DK5-1)</f>
        <v>-2601.7978540576364</v>
      </c>
      <c r="DL25" s="64">
        <f>-Assumptions!$B$37/12*(1+Assumptions!$B$11)^(DL5-1)</f>
        <v>-2601.7978540576364</v>
      </c>
      <c r="DM25" s="64">
        <f>-Assumptions!$B$37/12*(1+Assumptions!$B$11)^(DM5-1)</f>
        <v>-2601.7978540576364</v>
      </c>
      <c r="DN25" s="64">
        <f>-Assumptions!$B$37/12*(1+Assumptions!$B$11)^(DN5-1)</f>
        <v>-2601.7978540576364</v>
      </c>
      <c r="DO25" s="64">
        <f>-Assumptions!$B$37/12*(1+Assumptions!$B$11)^(DO5-1)</f>
        <v>-2601.7978540576364</v>
      </c>
      <c r="DP25" s="64">
        <f>-Assumptions!$B$37/12*(1+Assumptions!$B$11)^(DP5-1)</f>
        <v>-2601.7978540576364</v>
      </c>
      <c r="DQ25" s="64">
        <f>-Assumptions!$B$37/12*(1+Assumptions!$B$11)^(DQ5-1)</f>
        <v>-2601.7978540576364</v>
      </c>
      <c r="DR25" s="64">
        <f>-Assumptions!$B$37/12*(1+Assumptions!$B$11)^(DR5-1)</f>
        <v>-2601.7978540576364</v>
      </c>
      <c r="DS25" s="64">
        <f>-Assumptions!$B$37/12*(1+Assumptions!$B$11)^(DS5-1)</f>
        <v>-2601.7978540576364</v>
      </c>
    </row>
    <row r="26" spans="1:123" x14ac:dyDescent="0.25">
      <c r="A26" s="1" t="s">
        <v>91</v>
      </c>
      <c r="D26" s="64">
        <f>-Assumptions!$B$38/12*(1+Assumptions!$B$11)^(D5-1)</f>
        <v>-2916.6666666666665</v>
      </c>
      <c r="E26" s="64">
        <f>-Assumptions!$B$38/12*(1+Assumptions!$B$11)^(E5-1)</f>
        <v>-2916.6666666666665</v>
      </c>
      <c r="F26" s="64">
        <f>-Assumptions!$B$38/12*(1+Assumptions!$B$11)^(F5-1)</f>
        <v>-2916.6666666666665</v>
      </c>
      <c r="G26" s="64">
        <f>-Assumptions!$B$38/12*(1+Assumptions!$B$11)^(G5-1)</f>
        <v>-2916.6666666666665</v>
      </c>
      <c r="H26" s="64">
        <f>-Assumptions!$B$38/12*(1+Assumptions!$B$11)^(H5-1)</f>
        <v>-2916.6666666666665</v>
      </c>
      <c r="I26" s="64">
        <f>-Assumptions!$B$38/12*(1+Assumptions!$B$11)^(I5-1)</f>
        <v>-2916.6666666666665</v>
      </c>
      <c r="J26" s="64">
        <f>-Assumptions!$B$38/12*(1+Assumptions!$B$11)^(J5-1)</f>
        <v>-2916.6666666666665</v>
      </c>
      <c r="K26" s="64">
        <f>-Assumptions!$B$38/12*(1+Assumptions!$B$11)^(K5-1)</f>
        <v>-2916.6666666666665</v>
      </c>
      <c r="L26" s="64">
        <f>-Assumptions!$B$38/12*(1+Assumptions!$B$11)^(L5-1)</f>
        <v>-2916.6666666666665</v>
      </c>
      <c r="M26" s="64">
        <f>-Assumptions!$B$38/12*(1+Assumptions!$B$11)^(M5-1)</f>
        <v>-2916.6666666666665</v>
      </c>
      <c r="N26" s="64">
        <f>-Assumptions!$B$38/12*(1+Assumptions!$B$11)^(N5-1)</f>
        <v>-2916.6666666666665</v>
      </c>
      <c r="O26" s="64">
        <f>-Assumptions!$B$38/12*(1+Assumptions!$B$11)^(O5-1)</f>
        <v>-2916.6666666666665</v>
      </c>
      <c r="P26" s="64">
        <f>-Assumptions!$B$38/12*(1+Assumptions!$B$11)^(P5-1)</f>
        <v>-2989.583333333333</v>
      </c>
      <c r="Q26" s="64">
        <f>-Assumptions!$B$38/12*(1+Assumptions!$B$11)^(Q5-1)</f>
        <v>-2989.583333333333</v>
      </c>
      <c r="R26" s="64">
        <f>-Assumptions!$B$38/12*(1+Assumptions!$B$11)^(R5-1)</f>
        <v>-2989.583333333333</v>
      </c>
      <c r="S26" s="64">
        <f>-Assumptions!$B$38/12*(1+Assumptions!$B$11)^(S5-1)</f>
        <v>-2989.583333333333</v>
      </c>
      <c r="T26" s="64">
        <f>-Assumptions!$B$38/12*(1+Assumptions!$B$11)^(T5-1)</f>
        <v>-2989.583333333333</v>
      </c>
      <c r="U26" s="64">
        <f>-Assumptions!$B$38/12*(1+Assumptions!$B$11)^(U5-1)</f>
        <v>-2989.583333333333</v>
      </c>
      <c r="V26" s="64">
        <f>-Assumptions!$B$38/12*(1+Assumptions!$B$11)^(V5-1)</f>
        <v>-2989.583333333333</v>
      </c>
      <c r="W26" s="64">
        <f>-Assumptions!$B$38/12*(1+Assumptions!$B$11)^(W5-1)</f>
        <v>-2989.583333333333</v>
      </c>
      <c r="X26" s="64">
        <f>-Assumptions!$B$38/12*(1+Assumptions!$B$11)^(X5-1)</f>
        <v>-2989.583333333333</v>
      </c>
      <c r="Y26" s="64">
        <f>-Assumptions!$B$38/12*(1+Assumptions!$B$11)^(Y5-1)</f>
        <v>-2989.583333333333</v>
      </c>
      <c r="Z26" s="64">
        <f>-Assumptions!$B$38/12*(1+Assumptions!$B$11)^(Z5-1)</f>
        <v>-2989.583333333333</v>
      </c>
      <c r="AA26" s="64">
        <f>-Assumptions!$B$38/12*(1+Assumptions!$B$11)^(AA5-1)</f>
        <v>-2989.583333333333</v>
      </c>
      <c r="AB26" s="64">
        <f>-Assumptions!$B$38/12*(1+Assumptions!$B$11)^(AB5-1)</f>
        <v>-3064.3229166666661</v>
      </c>
      <c r="AC26" s="64">
        <f>-Assumptions!$B$38/12*(1+Assumptions!$B$11)^(AC5-1)</f>
        <v>-3064.3229166666661</v>
      </c>
      <c r="AD26" s="64">
        <f>-Assumptions!$B$38/12*(1+Assumptions!$B$11)^(AD5-1)</f>
        <v>-3064.3229166666661</v>
      </c>
      <c r="AE26" s="64">
        <f>-Assumptions!$B$38/12*(1+Assumptions!$B$11)^(AE5-1)</f>
        <v>-3064.3229166666661</v>
      </c>
      <c r="AF26" s="64">
        <f>-Assumptions!$B$38/12*(1+Assumptions!$B$11)^(AF5-1)</f>
        <v>-3064.3229166666661</v>
      </c>
      <c r="AG26" s="64">
        <f>-Assumptions!$B$38/12*(1+Assumptions!$B$11)^(AG5-1)</f>
        <v>-3064.3229166666661</v>
      </c>
      <c r="AH26" s="64">
        <f>-Assumptions!$B$38/12*(1+Assumptions!$B$11)^(AH5-1)</f>
        <v>-3064.3229166666661</v>
      </c>
      <c r="AI26" s="64">
        <f>-Assumptions!$B$38/12*(1+Assumptions!$B$11)^(AI5-1)</f>
        <v>-3064.3229166666661</v>
      </c>
      <c r="AJ26" s="64">
        <f>-Assumptions!$B$38/12*(1+Assumptions!$B$11)^(AJ5-1)</f>
        <v>-3064.3229166666661</v>
      </c>
      <c r="AK26" s="64">
        <f>-Assumptions!$B$38/12*(1+Assumptions!$B$11)^(AK5-1)</f>
        <v>-3064.3229166666661</v>
      </c>
      <c r="AL26" s="64">
        <f>-Assumptions!$B$38/12*(1+Assumptions!$B$11)^(AL5-1)</f>
        <v>-3064.3229166666661</v>
      </c>
      <c r="AM26" s="64">
        <f>-Assumptions!$B$38/12*(1+Assumptions!$B$11)^(AM5-1)</f>
        <v>-3064.3229166666661</v>
      </c>
      <c r="AN26" s="64">
        <f>-Assumptions!$B$38/12*(1+Assumptions!$B$11)^(AN5-1)</f>
        <v>-3140.930989583333</v>
      </c>
      <c r="AO26" s="64">
        <f>-Assumptions!$B$38/12*(1+Assumptions!$B$11)^(AO5-1)</f>
        <v>-3140.930989583333</v>
      </c>
      <c r="AP26" s="64">
        <f>-Assumptions!$B$38/12*(1+Assumptions!$B$11)^(AP5-1)</f>
        <v>-3140.930989583333</v>
      </c>
      <c r="AQ26" s="64">
        <f>-Assumptions!$B$38/12*(1+Assumptions!$B$11)^(AQ5-1)</f>
        <v>-3140.930989583333</v>
      </c>
      <c r="AR26" s="64">
        <f>-Assumptions!$B$38/12*(1+Assumptions!$B$11)^(AR5-1)</f>
        <v>-3140.930989583333</v>
      </c>
      <c r="AS26" s="64">
        <f>-Assumptions!$B$38/12*(1+Assumptions!$B$11)^(AS5-1)</f>
        <v>-3140.930989583333</v>
      </c>
      <c r="AT26" s="64">
        <f>-Assumptions!$B$38/12*(1+Assumptions!$B$11)^(AT5-1)</f>
        <v>-3140.930989583333</v>
      </c>
      <c r="AU26" s="64">
        <f>-Assumptions!$B$38/12*(1+Assumptions!$B$11)^(AU5-1)</f>
        <v>-3140.930989583333</v>
      </c>
      <c r="AV26" s="64">
        <f>-Assumptions!$B$38/12*(1+Assumptions!$B$11)^(AV5-1)</f>
        <v>-3140.930989583333</v>
      </c>
      <c r="AW26" s="64">
        <f>-Assumptions!$B$38/12*(1+Assumptions!$B$11)^(AW5-1)</f>
        <v>-3140.930989583333</v>
      </c>
      <c r="AX26" s="64">
        <f>-Assumptions!$B$38/12*(1+Assumptions!$B$11)^(AX5-1)</f>
        <v>-3140.930989583333</v>
      </c>
      <c r="AY26" s="64">
        <f>-Assumptions!$B$38/12*(1+Assumptions!$B$11)^(AY5-1)</f>
        <v>-3140.930989583333</v>
      </c>
      <c r="AZ26" s="64">
        <f>-Assumptions!$B$38/12*(1+Assumptions!$B$11)^(AZ5-1)</f>
        <v>-3219.4542643229156</v>
      </c>
      <c r="BA26" s="64">
        <f>-Assumptions!$B$38/12*(1+Assumptions!$B$11)^(BA5-1)</f>
        <v>-3219.4542643229156</v>
      </c>
      <c r="BB26" s="64">
        <f>-Assumptions!$B$38/12*(1+Assumptions!$B$11)^(BB5-1)</f>
        <v>-3219.4542643229156</v>
      </c>
      <c r="BC26" s="64">
        <f>-Assumptions!$B$38/12*(1+Assumptions!$B$11)^(BC5-1)</f>
        <v>-3219.4542643229156</v>
      </c>
      <c r="BD26" s="64">
        <f>-Assumptions!$B$38/12*(1+Assumptions!$B$11)^(BD5-1)</f>
        <v>-3219.4542643229156</v>
      </c>
      <c r="BE26" s="64">
        <f>-Assumptions!$B$38/12*(1+Assumptions!$B$11)^(BE5-1)</f>
        <v>-3219.4542643229156</v>
      </c>
      <c r="BF26" s="64">
        <f>-Assumptions!$B$38/12*(1+Assumptions!$B$11)^(BF5-1)</f>
        <v>-3219.4542643229156</v>
      </c>
      <c r="BG26" s="64">
        <f>-Assumptions!$B$38/12*(1+Assumptions!$B$11)^(BG5-1)</f>
        <v>-3219.4542643229156</v>
      </c>
      <c r="BH26" s="64">
        <f>-Assumptions!$B$38/12*(1+Assumptions!$B$11)^(BH5-1)</f>
        <v>-3219.4542643229156</v>
      </c>
      <c r="BI26" s="64">
        <f>-Assumptions!$B$38/12*(1+Assumptions!$B$11)^(BI5-1)</f>
        <v>-3219.4542643229156</v>
      </c>
      <c r="BJ26" s="64">
        <f>-Assumptions!$B$38/12*(1+Assumptions!$B$11)^(BJ5-1)</f>
        <v>-3219.4542643229156</v>
      </c>
      <c r="BK26" s="64">
        <f>-Assumptions!$B$38/12*(1+Assumptions!$B$11)^(BK5-1)</f>
        <v>-3219.4542643229156</v>
      </c>
      <c r="BL26" s="64">
        <f>-Assumptions!$B$38/12*(1+Assumptions!$B$11)^(BL5-1)</f>
        <v>-3299.9406209309882</v>
      </c>
      <c r="BM26" s="64">
        <f>-Assumptions!$B$38/12*(1+Assumptions!$B$11)^(BM5-1)</f>
        <v>-3299.9406209309882</v>
      </c>
      <c r="BN26" s="64">
        <f>-Assumptions!$B$38/12*(1+Assumptions!$B$11)^(BN5-1)</f>
        <v>-3299.9406209309882</v>
      </c>
      <c r="BO26" s="64">
        <f>-Assumptions!$B$38/12*(1+Assumptions!$B$11)^(BO5-1)</f>
        <v>-3299.9406209309882</v>
      </c>
      <c r="BP26" s="64">
        <f>-Assumptions!$B$38/12*(1+Assumptions!$B$11)^(BP5-1)</f>
        <v>-3299.9406209309882</v>
      </c>
      <c r="BQ26" s="64">
        <f>-Assumptions!$B$38/12*(1+Assumptions!$B$11)^(BQ5-1)</f>
        <v>-3299.9406209309882</v>
      </c>
      <c r="BR26" s="64">
        <f>-Assumptions!$B$38/12*(1+Assumptions!$B$11)^(BR5-1)</f>
        <v>-3299.9406209309882</v>
      </c>
      <c r="BS26" s="64">
        <f>-Assumptions!$B$38/12*(1+Assumptions!$B$11)^(BS5-1)</f>
        <v>-3299.9406209309882</v>
      </c>
      <c r="BT26" s="64">
        <f>-Assumptions!$B$38/12*(1+Assumptions!$B$11)^(BT5-1)</f>
        <v>-3299.9406209309882</v>
      </c>
      <c r="BU26" s="64">
        <f>-Assumptions!$B$38/12*(1+Assumptions!$B$11)^(BU5-1)</f>
        <v>-3299.9406209309882</v>
      </c>
      <c r="BV26" s="64">
        <f>-Assumptions!$B$38/12*(1+Assumptions!$B$11)^(BV5-1)</f>
        <v>-3299.9406209309882</v>
      </c>
      <c r="BW26" s="64">
        <f>-Assumptions!$B$38/12*(1+Assumptions!$B$11)^(BW5-1)</f>
        <v>-3299.9406209309882</v>
      </c>
      <c r="BX26" s="64">
        <f>-Assumptions!$B$38/12*(1+Assumptions!$B$11)^(BX5-1)</f>
        <v>-3382.439136454263</v>
      </c>
      <c r="BY26" s="64">
        <f>-Assumptions!$B$38/12*(1+Assumptions!$B$11)^(BY5-1)</f>
        <v>-3382.439136454263</v>
      </c>
      <c r="BZ26" s="64">
        <f>-Assumptions!$B$38/12*(1+Assumptions!$B$11)^(BZ5-1)</f>
        <v>-3382.439136454263</v>
      </c>
      <c r="CA26" s="64">
        <f>-Assumptions!$B$38/12*(1+Assumptions!$B$11)^(CA5-1)</f>
        <v>-3382.439136454263</v>
      </c>
      <c r="CB26" s="64">
        <f>-Assumptions!$B$38/12*(1+Assumptions!$B$11)^(CB5-1)</f>
        <v>-3382.439136454263</v>
      </c>
      <c r="CC26" s="64">
        <f>-Assumptions!$B$38/12*(1+Assumptions!$B$11)^(CC5-1)</f>
        <v>-3382.439136454263</v>
      </c>
      <c r="CD26" s="64">
        <f>-Assumptions!$B$38/12*(1+Assumptions!$B$11)^(CD5-1)</f>
        <v>-3382.439136454263</v>
      </c>
      <c r="CE26" s="64">
        <f>-Assumptions!$B$38/12*(1+Assumptions!$B$11)^(CE5-1)</f>
        <v>-3382.439136454263</v>
      </c>
      <c r="CF26" s="64">
        <f>-Assumptions!$B$38/12*(1+Assumptions!$B$11)^(CF5-1)</f>
        <v>-3382.439136454263</v>
      </c>
      <c r="CG26" s="64">
        <f>-Assumptions!$B$38/12*(1+Assumptions!$B$11)^(CG5-1)</f>
        <v>-3382.439136454263</v>
      </c>
      <c r="CH26" s="64">
        <f>-Assumptions!$B$38/12*(1+Assumptions!$B$11)^(CH5-1)</f>
        <v>-3382.439136454263</v>
      </c>
      <c r="CI26" s="64">
        <f>-Assumptions!$B$38/12*(1+Assumptions!$B$11)^(CI5-1)</f>
        <v>-3382.439136454263</v>
      </c>
      <c r="CJ26" s="64">
        <f>-Assumptions!$B$38/12*(1+Assumptions!$B$11)^(CJ5-1)</f>
        <v>-3467.0001148656197</v>
      </c>
      <c r="CK26" s="64">
        <f>-Assumptions!$B$38/12*(1+Assumptions!$B$11)^(CK5-1)</f>
        <v>-3467.0001148656197</v>
      </c>
      <c r="CL26" s="64">
        <f>-Assumptions!$B$38/12*(1+Assumptions!$B$11)^(CL5-1)</f>
        <v>-3467.0001148656197</v>
      </c>
      <c r="CM26" s="64">
        <f>-Assumptions!$B$38/12*(1+Assumptions!$B$11)^(CM5-1)</f>
        <v>-3467.0001148656197</v>
      </c>
      <c r="CN26" s="64">
        <f>-Assumptions!$B$38/12*(1+Assumptions!$B$11)^(CN5-1)</f>
        <v>-3467.0001148656197</v>
      </c>
      <c r="CO26" s="64">
        <f>-Assumptions!$B$38/12*(1+Assumptions!$B$11)^(CO5-1)</f>
        <v>-3467.0001148656197</v>
      </c>
      <c r="CP26" s="64">
        <f>-Assumptions!$B$38/12*(1+Assumptions!$B$11)^(CP5-1)</f>
        <v>-3467.0001148656197</v>
      </c>
      <c r="CQ26" s="64">
        <f>-Assumptions!$B$38/12*(1+Assumptions!$B$11)^(CQ5-1)</f>
        <v>-3467.0001148656197</v>
      </c>
      <c r="CR26" s="64">
        <f>-Assumptions!$B$38/12*(1+Assumptions!$B$11)^(CR5-1)</f>
        <v>-3467.0001148656197</v>
      </c>
      <c r="CS26" s="64">
        <f>-Assumptions!$B$38/12*(1+Assumptions!$B$11)^(CS5-1)</f>
        <v>-3467.0001148656197</v>
      </c>
      <c r="CT26" s="64">
        <f>-Assumptions!$B$38/12*(1+Assumptions!$B$11)^(CT5-1)</f>
        <v>-3467.0001148656197</v>
      </c>
      <c r="CU26" s="64">
        <f>-Assumptions!$B$38/12*(1+Assumptions!$B$11)^(CU5-1)</f>
        <v>-3467.0001148656197</v>
      </c>
      <c r="CV26" s="64">
        <f>-Assumptions!$B$38/12*(1+Assumptions!$B$11)^(CV5-1)</f>
        <v>-3553.6751177372598</v>
      </c>
      <c r="CW26" s="64">
        <f>-Assumptions!$B$38/12*(1+Assumptions!$B$11)^(CW5-1)</f>
        <v>-3553.6751177372598</v>
      </c>
      <c r="CX26" s="64">
        <f>-Assumptions!$B$38/12*(1+Assumptions!$B$11)^(CX5-1)</f>
        <v>-3553.6751177372598</v>
      </c>
      <c r="CY26" s="64">
        <f>-Assumptions!$B$38/12*(1+Assumptions!$B$11)^(CY5-1)</f>
        <v>-3553.6751177372598</v>
      </c>
      <c r="CZ26" s="64">
        <f>-Assumptions!$B$38/12*(1+Assumptions!$B$11)^(CZ5-1)</f>
        <v>-3553.6751177372598</v>
      </c>
      <c r="DA26" s="64">
        <f>-Assumptions!$B$38/12*(1+Assumptions!$B$11)^(DA5-1)</f>
        <v>-3553.6751177372598</v>
      </c>
      <c r="DB26" s="64">
        <f>-Assumptions!$B$38/12*(1+Assumptions!$B$11)^(DB5-1)</f>
        <v>-3553.6751177372598</v>
      </c>
      <c r="DC26" s="64">
        <f>-Assumptions!$B$38/12*(1+Assumptions!$B$11)^(DC5-1)</f>
        <v>-3553.6751177372598</v>
      </c>
      <c r="DD26" s="64">
        <f>-Assumptions!$B$38/12*(1+Assumptions!$B$11)^(DD5-1)</f>
        <v>-3553.6751177372598</v>
      </c>
      <c r="DE26" s="64">
        <f>-Assumptions!$B$38/12*(1+Assumptions!$B$11)^(DE5-1)</f>
        <v>-3553.6751177372598</v>
      </c>
      <c r="DF26" s="64">
        <f>-Assumptions!$B$38/12*(1+Assumptions!$B$11)^(DF5-1)</f>
        <v>-3553.6751177372598</v>
      </c>
      <c r="DG26" s="64">
        <f>-Assumptions!$B$38/12*(1+Assumptions!$B$11)^(DG5-1)</f>
        <v>-3553.6751177372598</v>
      </c>
      <c r="DH26" s="64">
        <f>-Assumptions!$B$38/12*(1+Assumptions!$B$11)^(DH5-1)</f>
        <v>-3642.5169956806908</v>
      </c>
      <c r="DI26" s="64">
        <f>-Assumptions!$B$38/12*(1+Assumptions!$B$11)^(DI5-1)</f>
        <v>-3642.5169956806908</v>
      </c>
      <c r="DJ26" s="64">
        <f>-Assumptions!$B$38/12*(1+Assumptions!$B$11)^(DJ5-1)</f>
        <v>-3642.5169956806908</v>
      </c>
      <c r="DK26" s="64">
        <f>-Assumptions!$B$38/12*(1+Assumptions!$B$11)^(DK5-1)</f>
        <v>-3642.5169956806908</v>
      </c>
      <c r="DL26" s="64">
        <f>-Assumptions!$B$38/12*(1+Assumptions!$B$11)^(DL5-1)</f>
        <v>-3642.5169956806908</v>
      </c>
      <c r="DM26" s="64">
        <f>-Assumptions!$B$38/12*(1+Assumptions!$B$11)^(DM5-1)</f>
        <v>-3642.5169956806908</v>
      </c>
      <c r="DN26" s="64">
        <f>-Assumptions!$B$38/12*(1+Assumptions!$B$11)^(DN5-1)</f>
        <v>-3642.5169956806908</v>
      </c>
      <c r="DO26" s="64">
        <f>-Assumptions!$B$38/12*(1+Assumptions!$B$11)^(DO5-1)</f>
        <v>-3642.5169956806908</v>
      </c>
      <c r="DP26" s="64">
        <f>-Assumptions!$B$38/12*(1+Assumptions!$B$11)^(DP5-1)</f>
        <v>-3642.5169956806908</v>
      </c>
      <c r="DQ26" s="64">
        <f>-Assumptions!$B$38/12*(1+Assumptions!$B$11)^(DQ5-1)</f>
        <v>-3642.5169956806908</v>
      </c>
      <c r="DR26" s="64">
        <f>-Assumptions!$B$38/12*(1+Assumptions!$B$11)^(DR5-1)</f>
        <v>-3642.5169956806908</v>
      </c>
      <c r="DS26" s="64">
        <f>-Assumptions!$B$38/12*(1+Assumptions!$B$11)^(DS5-1)</f>
        <v>-3642.5169956806908</v>
      </c>
    </row>
    <row r="27" spans="1:123" x14ac:dyDescent="0.25">
      <c r="A27" s="1" t="s">
        <v>92</v>
      </c>
      <c r="D27" s="64">
        <f>-Assumptions!$B$39/12*(1+Assumptions!$B$11)^(D5-1)</f>
        <v>-333.33333333333331</v>
      </c>
      <c r="E27" s="64">
        <f>-Assumptions!$B$39/12*(1+Assumptions!$B$11)^(E5-1)</f>
        <v>-333.33333333333331</v>
      </c>
      <c r="F27" s="64">
        <f>-Assumptions!$B$39/12*(1+Assumptions!$B$11)^(F5-1)</f>
        <v>-333.33333333333331</v>
      </c>
      <c r="G27" s="64">
        <f>-Assumptions!$B$39/12*(1+Assumptions!$B$11)^(G5-1)</f>
        <v>-333.33333333333331</v>
      </c>
      <c r="H27" s="64">
        <f>-Assumptions!$B$39/12*(1+Assumptions!$B$11)^(H5-1)</f>
        <v>-333.33333333333331</v>
      </c>
      <c r="I27" s="64">
        <f>-Assumptions!$B$39/12*(1+Assumptions!$B$11)^(I5-1)</f>
        <v>-333.33333333333331</v>
      </c>
      <c r="J27" s="64">
        <f>-Assumptions!$B$39/12*(1+Assumptions!$B$11)^(J5-1)</f>
        <v>-333.33333333333331</v>
      </c>
      <c r="K27" s="64">
        <f>-Assumptions!$B$39/12*(1+Assumptions!$B$11)^(K5-1)</f>
        <v>-333.33333333333331</v>
      </c>
      <c r="L27" s="64">
        <f>-Assumptions!$B$39/12*(1+Assumptions!$B$11)^(L5-1)</f>
        <v>-333.33333333333331</v>
      </c>
      <c r="M27" s="64">
        <f>-Assumptions!$B$39/12*(1+Assumptions!$B$11)^(M5-1)</f>
        <v>-333.33333333333331</v>
      </c>
      <c r="N27" s="64">
        <f>-Assumptions!$B$39/12*(1+Assumptions!$B$11)^(N5-1)</f>
        <v>-333.33333333333331</v>
      </c>
      <c r="O27" s="64">
        <f>-Assumptions!$B$39/12*(1+Assumptions!$B$11)^(O5-1)</f>
        <v>-333.33333333333331</v>
      </c>
      <c r="P27" s="64">
        <f>-Assumptions!$B$39/12*(1+Assumptions!$B$11)^(P5-1)</f>
        <v>-341.66666666666663</v>
      </c>
      <c r="Q27" s="64">
        <f>-Assumptions!$B$39/12*(1+Assumptions!$B$11)^(Q5-1)</f>
        <v>-341.66666666666663</v>
      </c>
      <c r="R27" s="64">
        <f>-Assumptions!$B$39/12*(1+Assumptions!$B$11)^(R5-1)</f>
        <v>-341.66666666666663</v>
      </c>
      <c r="S27" s="64">
        <f>-Assumptions!$B$39/12*(1+Assumptions!$B$11)^(S5-1)</f>
        <v>-341.66666666666663</v>
      </c>
      <c r="T27" s="64">
        <f>-Assumptions!$B$39/12*(1+Assumptions!$B$11)^(T5-1)</f>
        <v>-341.66666666666663</v>
      </c>
      <c r="U27" s="64">
        <f>-Assumptions!$B$39/12*(1+Assumptions!$B$11)^(U5-1)</f>
        <v>-341.66666666666663</v>
      </c>
      <c r="V27" s="64">
        <f>-Assumptions!$B$39/12*(1+Assumptions!$B$11)^(V5-1)</f>
        <v>-341.66666666666663</v>
      </c>
      <c r="W27" s="64">
        <f>-Assumptions!$B$39/12*(1+Assumptions!$B$11)^(W5-1)</f>
        <v>-341.66666666666663</v>
      </c>
      <c r="X27" s="64">
        <f>-Assumptions!$B$39/12*(1+Assumptions!$B$11)^(X5-1)</f>
        <v>-341.66666666666663</v>
      </c>
      <c r="Y27" s="64">
        <f>-Assumptions!$B$39/12*(1+Assumptions!$B$11)^(Y5-1)</f>
        <v>-341.66666666666663</v>
      </c>
      <c r="Z27" s="64">
        <f>-Assumptions!$B$39/12*(1+Assumptions!$B$11)^(Z5-1)</f>
        <v>-341.66666666666663</v>
      </c>
      <c r="AA27" s="64">
        <f>-Assumptions!$B$39/12*(1+Assumptions!$B$11)^(AA5-1)</f>
        <v>-341.66666666666663</v>
      </c>
      <c r="AB27" s="64">
        <f>-Assumptions!$B$39/12*(1+Assumptions!$B$11)^(AB5-1)</f>
        <v>-350.20833333333331</v>
      </c>
      <c r="AC27" s="64">
        <f>-Assumptions!$B$39/12*(1+Assumptions!$B$11)^(AC5-1)</f>
        <v>-350.20833333333331</v>
      </c>
      <c r="AD27" s="64">
        <f>-Assumptions!$B$39/12*(1+Assumptions!$B$11)^(AD5-1)</f>
        <v>-350.20833333333331</v>
      </c>
      <c r="AE27" s="64">
        <f>-Assumptions!$B$39/12*(1+Assumptions!$B$11)^(AE5-1)</f>
        <v>-350.20833333333331</v>
      </c>
      <c r="AF27" s="64">
        <f>-Assumptions!$B$39/12*(1+Assumptions!$B$11)^(AF5-1)</f>
        <v>-350.20833333333331</v>
      </c>
      <c r="AG27" s="64">
        <f>-Assumptions!$B$39/12*(1+Assumptions!$B$11)^(AG5-1)</f>
        <v>-350.20833333333331</v>
      </c>
      <c r="AH27" s="64">
        <f>-Assumptions!$B$39/12*(1+Assumptions!$B$11)^(AH5-1)</f>
        <v>-350.20833333333331</v>
      </c>
      <c r="AI27" s="64">
        <f>-Assumptions!$B$39/12*(1+Assumptions!$B$11)^(AI5-1)</f>
        <v>-350.20833333333331</v>
      </c>
      <c r="AJ27" s="64">
        <f>-Assumptions!$B$39/12*(1+Assumptions!$B$11)^(AJ5-1)</f>
        <v>-350.20833333333331</v>
      </c>
      <c r="AK27" s="64">
        <f>-Assumptions!$B$39/12*(1+Assumptions!$B$11)^(AK5-1)</f>
        <v>-350.20833333333331</v>
      </c>
      <c r="AL27" s="64">
        <f>-Assumptions!$B$39/12*(1+Assumptions!$B$11)^(AL5-1)</f>
        <v>-350.20833333333331</v>
      </c>
      <c r="AM27" s="64">
        <f>-Assumptions!$B$39/12*(1+Assumptions!$B$11)^(AM5-1)</f>
        <v>-350.20833333333331</v>
      </c>
      <c r="AN27" s="64">
        <f>-Assumptions!$B$39/12*(1+Assumptions!$B$11)^(AN5-1)</f>
        <v>-358.96354166666663</v>
      </c>
      <c r="AO27" s="64">
        <f>-Assumptions!$B$39/12*(1+Assumptions!$B$11)^(AO5-1)</f>
        <v>-358.96354166666663</v>
      </c>
      <c r="AP27" s="64">
        <f>-Assumptions!$B$39/12*(1+Assumptions!$B$11)^(AP5-1)</f>
        <v>-358.96354166666663</v>
      </c>
      <c r="AQ27" s="64">
        <f>-Assumptions!$B$39/12*(1+Assumptions!$B$11)^(AQ5-1)</f>
        <v>-358.96354166666663</v>
      </c>
      <c r="AR27" s="64">
        <f>-Assumptions!$B$39/12*(1+Assumptions!$B$11)^(AR5-1)</f>
        <v>-358.96354166666663</v>
      </c>
      <c r="AS27" s="64">
        <f>-Assumptions!$B$39/12*(1+Assumptions!$B$11)^(AS5-1)</f>
        <v>-358.96354166666663</v>
      </c>
      <c r="AT27" s="64">
        <f>-Assumptions!$B$39/12*(1+Assumptions!$B$11)^(AT5-1)</f>
        <v>-358.96354166666663</v>
      </c>
      <c r="AU27" s="64">
        <f>-Assumptions!$B$39/12*(1+Assumptions!$B$11)^(AU5-1)</f>
        <v>-358.96354166666663</v>
      </c>
      <c r="AV27" s="64">
        <f>-Assumptions!$B$39/12*(1+Assumptions!$B$11)^(AV5-1)</f>
        <v>-358.96354166666663</v>
      </c>
      <c r="AW27" s="64">
        <f>-Assumptions!$B$39/12*(1+Assumptions!$B$11)^(AW5-1)</f>
        <v>-358.96354166666663</v>
      </c>
      <c r="AX27" s="64">
        <f>-Assumptions!$B$39/12*(1+Assumptions!$B$11)^(AX5-1)</f>
        <v>-358.96354166666663</v>
      </c>
      <c r="AY27" s="64">
        <f>-Assumptions!$B$39/12*(1+Assumptions!$B$11)^(AY5-1)</f>
        <v>-358.96354166666663</v>
      </c>
      <c r="AZ27" s="64">
        <f>-Assumptions!$B$39/12*(1+Assumptions!$B$11)^(AZ5-1)</f>
        <v>-367.93763020833325</v>
      </c>
      <c r="BA27" s="64">
        <f>-Assumptions!$B$39/12*(1+Assumptions!$B$11)^(BA5-1)</f>
        <v>-367.93763020833325</v>
      </c>
      <c r="BB27" s="64">
        <f>-Assumptions!$B$39/12*(1+Assumptions!$B$11)^(BB5-1)</f>
        <v>-367.93763020833325</v>
      </c>
      <c r="BC27" s="64">
        <f>-Assumptions!$B$39/12*(1+Assumptions!$B$11)^(BC5-1)</f>
        <v>-367.93763020833325</v>
      </c>
      <c r="BD27" s="64">
        <f>-Assumptions!$B$39/12*(1+Assumptions!$B$11)^(BD5-1)</f>
        <v>-367.93763020833325</v>
      </c>
      <c r="BE27" s="64">
        <f>-Assumptions!$B$39/12*(1+Assumptions!$B$11)^(BE5-1)</f>
        <v>-367.93763020833325</v>
      </c>
      <c r="BF27" s="64">
        <f>-Assumptions!$B$39/12*(1+Assumptions!$B$11)^(BF5-1)</f>
        <v>-367.93763020833325</v>
      </c>
      <c r="BG27" s="64">
        <f>-Assumptions!$B$39/12*(1+Assumptions!$B$11)^(BG5-1)</f>
        <v>-367.93763020833325</v>
      </c>
      <c r="BH27" s="64">
        <f>-Assumptions!$B$39/12*(1+Assumptions!$B$11)^(BH5-1)</f>
        <v>-367.93763020833325</v>
      </c>
      <c r="BI27" s="64">
        <f>-Assumptions!$B$39/12*(1+Assumptions!$B$11)^(BI5-1)</f>
        <v>-367.93763020833325</v>
      </c>
      <c r="BJ27" s="64">
        <f>-Assumptions!$B$39/12*(1+Assumptions!$B$11)^(BJ5-1)</f>
        <v>-367.93763020833325</v>
      </c>
      <c r="BK27" s="64">
        <f>-Assumptions!$B$39/12*(1+Assumptions!$B$11)^(BK5-1)</f>
        <v>-367.93763020833325</v>
      </c>
      <c r="BL27" s="64">
        <f>-Assumptions!$B$39/12*(1+Assumptions!$B$11)^(BL5-1)</f>
        <v>-377.13607096354156</v>
      </c>
      <c r="BM27" s="64">
        <f>-Assumptions!$B$39/12*(1+Assumptions!$B$11)^(BM5-1)</f>
        <v>-377.13607096354156</v>
      </c>
      <c r="BN27" s="64">
        <f>-Assumptions!$B$39/12*(1+Assumptions!$B$11)^(BN5-1)</f>
        <v>-377.13607096354156</v>
      </c>
      <c r="BO27" s="64">
        <f>-Assumptions!$B$39/12*(1+Assumptions!$B$11)^(BO5-1)</f>
        <v>-377.13607096354156</v>
      </c>
      <c r="BP27" s="64">
        <f>-Assumptions!$B$39/12*(1+Assumptions!$B$11)^(BP5-1)</f>
        <v>-377.13607096354156</v>
      </c>
      <c r="BQ27" s="64">
        <f>-Assumptions!$B$39/12*(1+Assumptions!$B$11)^(BQ5-1)</f>
        <v>-377.13607096354156</v>
      </c>
      <c r="BR27" s="64">
        <f>-Assumptions!$B$39/12*(1+Assumptions!$B$11)^(BR5-1)</f>
        <v>-377.13607096354156</v>
      </c>
      <c r="BS27" s="64">
        <f>-Assumptions!$B$39/12*(1+Assumptions!$B$11)^(BS5-1)</f>
        <v>-377.13607096354156</v>
      </c>
      <c r="BT27" s="64">
        <f>-Assumptions!$B$39/12*(1+Assumptions!$B$11)^(BT5-1)</f>
        <v>-377.13607096354156</v>
      </c>
      <c r="BU27" s="64">
        <f>-Assumptions!$B$39/12*(1+Assumptions!$B$11)^(BU5-1)</f>
        <v>-377.13607096354156</v>
      </c>
      <c r="BV27" s="64">
        <f>-Assumptions!$B$39/12*(1+Assumptions!$B$11)^(BV5-1)</f>
        <v>-377.13607096354156</v>
      </c>
      <c r="BW27" s="64">
        <f>-Assumptions!$B$39/12*(1+Assumptions!$B$11)^(BW5-1)</f>
        <v>-377.13607096354156</v>
      </c>
      <c r="BX27" s="64">
        <f>-Assumptions!$B$39/12*(1+Assumptions!$B$11)^(BX5-1)</f>
        <v>-386.56447273763001</v>
      </c>
      <c r="BY27" s="64">
        <f>-Assumptions!$B$39/12*(1+Assumptions!$B$11)^(BY5-1)</f>
        <v>-386.56447273763001</v>
      </c>
      <c r="BZ27" s="64">
        <f>-Assumptions!$B$39/12*(1+Assumptions!$B$11)^(BZ5-1)</f>
        <v>-386.56447273763001</v>
      </c>
      <c r="CA27" s="64">
        <f>-Assumptions!$B$39/12*(1+Assumptions!$B$11)^(CA5-1)</f>
        <v>-386.56447273763001</v>
      </c>
      <c r="CB27" s="64">
        <f>-Assumptions!$B$39/12*(1+Assumptions!$B$11)^(CB5-1)</f>
        <v>-386.56447273763001</v>
      </c>
      <c r="CC27" s="64">
        <f>-Assumptions!$B$39/12*(1+Assumptions!$B$11)^(CC5-1)</f>
        <v>-386.56447273763001</v>
      </c>
      <c r="CD27" s="64">
        <f>-Assumptions!$B$39/12*(1+Assumptions!$B$11)^(CD5-1)</f>
        <v>-386.56447273763001</v>
      </c>
      <c r="CE27" s="64">
        <f>-Assumptions!$B$39/12*(1+Assumptions!$B$11)^(CE5-1)</f>
        <v>-386.56447273763001</v>
      </c>
      <c r="CF27" s="64">
        <f>-Assumptions!$B$39/12*(1+Assumptions!$B$11)^(CF5-1)</f>
        <v>-386.56447273763001</v>
      </c>
      <c r="CG27" s="64">
        <f>-Assumptions!$B$39/12*(1+Assumptions!$B$11)^(CG5-1)</f>
        <v>-386.56447273763001</v>
      </c>
      <c r="CH27" s="64">
        <f>-Assumptions!$B$39/12*(1+Assumptions!$B$11)^(CH5-1)</f>
        <v>-386.56447273763001</v>
      </c>
      <c r="CI27" s="64">
        <f>-Assumptions!$B$39/12*(1+Assumptions!$B$11)^(CI5-1)</f>
        <v>-386.56447273763001</v>
      </c>
      <c r="CJ27" s="64">
        <f>-Assumptions!$B$39/12*(1+Assumptions!$B$11)^(CJ5-1)</f>
        <v>-396.22858455607081</v>
      </c>
      <c r="CK27" s="64">
        <f>-Assumptions!$B$39/12*(1+Assumptions!$B$11)^(CK5-1)</f>
        <v>-396.22858455607081</v>
      </c>
      <c r="CL27" s="64">
        <f>-Assumptions!$B$39/12*(1+Assumptions!$B$11)^(CL5-1)</f>
        <v>-396.22858455607081</v>
      </c>
      <c r="CM27" s="64">
        <f>-Assumptions!$B$39/12*(1+Assumptions!$B$11)^(CM5-1)</f>
        <v>-396.22858455607081</v>
      </c>
      <c r="CN27" s="64">
        <f>-Assumptions!$B$39/12*(1+Assumptions!$B$11)^(CN5-1)</f>
        <v>-396.22858455607081</v>
      </c>
      <c r="CO27" s="64">
        <f>-Assumptions!$B$39/12*(1+Assumptions!$B$11)^(CO5-1)</f>
        <v>-396.22858455607081</v>
      </c>
      <c r="CP27" s="64">
        <f>-Assumptions!$B$39/12*(1+Assumptions!$B$11)^(CP5-1)</f>
        <v>-396.22858455607081</v>
      </c>
      <c r="CQ27" s="64">
        <f>-Assumptions!$B$39/12*(1+Assumptions!$B$11)^(CQ5-1)</f>
        <v>-396.22858455607081</v>
      </c>
      <c r="CR27" s="64">
        <f>-Assumptions!$B$39/12*(1+Assumptions!$B$11)^(CR5-1)</f>
        <v>-396.22858455607081</v>
      </c>
      <c r="CS27" s="64">
        <f>-Assumptions!$B$39/12*(1+Assumptions!$B$11)^(CS5-1)</f>
        <v>-396.22858455607081</v>
      </c>
      <c r="CT27" s="64">
        <f>-Assumptions!$B$39/12*(1+Assumptions!$B$11)^(CT5-1)</f>
        <v>-396.22858455607081</v>
      </c>
      <c r="CU27" s="64">
        <f>-Assumptions!$B$39/12*(1+Assumptions!$B$11)^(CU5-1)</f>
        <v>-396.22858455607081</v>
      </c>
      <c r="CV27" s="64">
        <f>-Assumptions!$B$39/12*(1+Assumptions!$B$11)^(CV5-1)</f>
        <v>-406.13429916997256</v>
      </c>
      <c r="CW27" s="64">
        <f>-Assumptions!$B$39/12*(1+Assumptions!$B$11)^(CW5-1)</f>
        <v>-406.13429916997256</v>
      </c>
      <c r="CX27" s="64">
        <f>-Assumptions!$B$39/12*(1+Assumptions!$B$11)^(CX5-1)</f>
        <v>-406.13429916997256</v>
      </c>
      <c r="CY27" s="64">
        <f>-Assumptions!$B$39/12*(1+Assumptions!$B$11)^(CY5-1)</f>
        <v>-406.13429916997256</v>
      </c>
      <c r="CZ27" s="64">
        <f>-Assumptions!$B$39/12*(1+Assumptions!$B$11)^(CZ5-1)</f>
        <v>-406.13429916997256</v>
      </c>
      <c r="DA27" s="64">
        <f>-Assumptions!$B$39/12*(1+Assumptions!$B$11)^(DA5-1)</f>
        <v>-406.13429916997256</v>
      </c>
      <c r="DB27" s="64">
        <f>-Assumptions!$B$39/12*(1+Assumptions!$B$11)^(DB5-1)</f>
        <v>-406.13429916997256</v>
      </c>
      <c r="DC27" s="64">
        <f>-Assumptions!$B$39/12*(1+Assumptions!$B$11)^(DC5-1)</f>
        <v>-406.13429916997256</v>
      </c>
      <c r="DD27" s="64">
        <f>-Assumptions!$B$39/12*(1+Assumptions!$B$11)^(DD5-1)</f>
        <v>-406.13429916997256</v>
      </c>
      <c r="DE27" s="64">
        <f>-Assumptions!$B$39/12*(1+Assumptions!$B$11)^(DE5-1)</f>
        <v>-406.13429916997256</v>
      </c>
      <c r="DF27" s="64">
        <f>-Assumptions!$B$39/12*(1+Assumptions!$B$11)^(DF5-1)</f>
        <v>-406.13429916997256</v>
      </c>
      <c r="DG27" s="64">
        <f>-Assumptions!$B$39/12*(1+Assumptions!$B$11)^(DG5-1)</f>
        <v>-406.13429916997256</v>
      </c>
      <c r="DH27" s="64">
        <f>-Assumptions!$B$39/12*(1+Assumptions!$B$11)^(DH5-1)</f>
        <v>-416.28765664922179</v>
      </c>
      <c r="DI27" s="64">
        <f>-Assumptions!$B$39/12*(1+Assumptions!$B$11)^(DI5-1)</f>
        <v>-416.28765664922179</v>
      </c>
      <c r="DJ27" s="64">
        <f>-Assumptions!$B$39/12*(1+Assumptions!$B$11)^(DJ5-1)</f>
        <v>-416.28765664922179</v>
      </c>
      <c r="DK27" s="64">
        <f>-Assumptions!$B$39/12*(1+Assumptions!$B$11)^(DK5-1)</f>
        <v>-416.28765664922179</v>
      </c>
      <c r="DL27" s="64">
        <f>-Assumptions!$B$39/12*(1+Assumptions!$B$11)^(DL5-1)</f>
        <v>-416.28765664922179</v>
      </c>
      <c r="DM27" s="64">
        <f>-Assumptions!$B$39/12*(1+Assumptions!$B$11)^(DM5-1)</f>
        <v>-416.28765664922179</v>
      </c>
      <c r="DN27" s="64">
        <f>-Assumptions!$B$39/12*(1+Assumptions!$B$11)^(DN5-1)</f>
        <v>-416.28765664922179</v>
      </c>
      <c r="DO27" s="64">
        <f>-Assumptions!$B$39/12*(1+Assumptions!$B$11)^(DO5-1)</f>
        <v>-416.28765664922179</v>
      </c>
      <c r="DP27" s="64">
        <f>-Assumptions!$B$39/12*(1+Assumptions!$B$11)^(DP5-1)</f>
        <v>-416.28765664922179</v>
      </c>
      <c r="DQ27" s="64">
        <f>-Assumptions!$B$39/12*(1+Assumptions!$B$11)^(DQ5-1)</f>
        <v>-416.28765664922179</v>
      </c>
      <c r="DR27" s="64">
        <f>-Assumptions!$B$39/12*(1+Assumptions!$B$11)^(DR5-1)</f>
        <v>-416.28765664922179</v>
      </c>
      <c r="DS27" s="64">
        <f>-Assumptions!$B$39/12*(1+Assumptions!$B$11)^(DS5-1)</f>
        <v>-416.28765664922179</v>
      </c>
    </row>
    <row r="28" spans="1:123" x14ac:dyDescent="0.25">
      <c r="A28" s="1" t="s">
        <v>275</v>
      </c>
      <c r="D28" s="64">
        <f>-Assumptions!$B$40/12*(1+Assumptions!$B$11)^(D5-1)</f>
        <v>-666.66666666666663</v>
      </c>
      <c r="E28" s="64">
        <f>-Assumptions!$B$40/12*(1+Assumptions!$B$11)^(E5-1)</f>
        <v>-666.66666666666663</v>
      </c>
      <c r="F28" s="64">
        <f>-Assumptions!$B$40/12*(1+Assumptions!$B$11)^(F5-1)</f>
        <v>-666.66666666666663</v>
      </c>
      <c r="G28" s="64">
        <f>-Assumptions!$B$40/12*(1+Assumptions!$B$11)^(G5-1)</f>
        <v>-666.66666666666663</v>
      </c>
      <c r="H28" s="64">
        <f>-Assumptions!$B$40/12*(1+Assumptions!$B$11)^(H5-1)</f>
        <v>-666.66666666666663</v>
      </c>
      <c r="I28" s="64">
        <f>-Assumptions!$B$40/12*(1+Assumptions!$B$11)^(I5-1)</f>
        <v>-666.66666666666663</v>
      </c>
      <c r="J28" s="64">
        <f>-Assumptions!$B$40/12*(1+Assumptions!$B$11)^(J5-1)</f>
        <v>-666.66666666666663</v>
      </c>
      <c r="K28" s="64">
        <f>-Assumptions!$B$40/12*(1+Assumptions!$B$11)^(K5-1)</f>
        <v>-666.66666666666663</v>
      </c>
      <c r="L28" s="64">
        <f>-Assumptions!$B$40/12*(1+Assumptions!$B$11)^(L5-1)</f>
        <v>-666.66666666666663</v>
      </c>
      <c r="M28" s="64">
        <f>-Assumptions!$B$40/12*(1+Assumptions!$B$11)^(M5-1)</f>
        <v>-666.66666666666663</v>
      </c>
      <c r="N28" s="64">
        <f>-Assumptions!$B$40/12*(1+Assumptions!$B$11)^(N5-1)</f>
        <v>-666.66666666666663</v>
      </c>
      <c r="O28" s="64">
        <f>-Assumptions!$B$40/12*(1+Assumptions!$B$11)^(O5-1)</f>
        <v>-666.66666666666663</v>
      </c>
      <c r="P28" s="64">
        <f>-Assumptions!$B$40/12*(1+Assumptions!$B$11)^(P5-1)</f>
        <v>-683.33333333333326</v>
      </c>
      <c r="Q28" s="64">
        <f>-Assumptions!$B$40/12*(1+Assumptions!$B$11)^(Q5-1)</f>
        <v>-683.33333333333326</v>
      </c>
      <c r="R28" s="64">
        <f>-Assumptions!$B$40/12*(1+Assumptions!$B$11)^(R5-1)</f>
        <v>-683.33333333333326</v>
      </c>
      <c r="S28" s="64">
        <f>-Assumptions!$B$40/12*(1+Assumptions!$B$11)^(S5-1)</f>
        <v>-683.33333333333326</v>
      </c>
      <c r="T28" s="64">
        <f>-Assumptions!$B$40/12*(1+Assumptions!$B$11)^(T5-1)</f>
        <v>-683.33333333333326</v>
      </c>
      <c r="U28" s="64">
        <f>-Assumptions!$B$40/12*(1+Assumptions!$B$11)^(U5-1)</f>
        <v>-683.33333333333326</v>
      </c>
      <c r="V28" s="64">
        <f>-Assumptions!$B$40/12*(1+Assumptions!$B$11)^(V5-1)</f>
        <v>-683.33333333333326</v>
      </c>
      <c r="W28" s="64">
        <f>-Assumptions!$B$40/12*(1+Assumptions!$B$11)^(W5-1)</f>
        <v>-683.33333333333326</v>
      </c>
      <c r="X28" s="64">
        <f>-Assumptions!$B$40/12*(1+Assumptions!$B$11)^(X5-1)</f>
        <v>-683.33333333333326</v>
      </c>
      <c r="Y28" s="64">
        <f>-Assumptions!$B$40/12*(1+Assumptions!$B$11)^(Y5-1)</f>
        <v>-683.33333333333326</v>
      </c>
      <c r="Z28" s="64">
        <f>-Assumptions!$B$40/12*(1+Assumptions!$B$11)^(Z5-1)</f>
        <v>-683.33333333333326</v>
      </c>
      <c r="AA28" s="64">
        <f>-Assumptions!$B$40/12*(1+Assumptions!$B$11)^(AA5-1)</f>
        <v>-683.33333333333326</v>
      </c>
      <c r="AB28" s="64">
        <f>-Assumptions!$B$40/12*(1+Assumptions!$B$11)^(AB5-1)</f>
        <v>-700.41666666666663</v>
      </c>
      <c r="AC28" s="64">
        <f>-Assumptions!$B$40/12*(1+Assumptions!$B$11)^(AC5-1)</f>
        <v>-700.41666666666663</v>
      </c>
      <c r="AD28" s="64">
        <f>-Assumptions!$B$40/12*(1+Assumptions!$B$11)^(AD5-1)</f>
        <v>-700.41666666666663</v>
      </c>
      <c r="AE28" s="64">
        <f>-Assumptions!$B$40/12*(1+Assumptions!$B$11)^(AE5-1)</f>
        <v>-700.41666666666663</v>
      </c>
      <c r="AF28" s="64">
        <f>-Assumptions!$B$40/12*(1+Assumptions!$B$11)^(AF5-1)</f>
        <v>-700.41666666666663</v>
      </c>
      <c r="AG28" s="64">
        <f>-Assumptions!$B$40/12*(1+Assumptions!$B$11)^(AG5-1)</f>
        <v>-700.41666666666663</v>
      </c>
      <c r="AH28" s="64">
        <f>-Assumptions!$B$40/12*(1+Assumptions!$B$11)^(AH5-1)</f>
        <v>-700.41666666666663</v>
      </c>
      <c r="AI28" s="64">
        <f>-Assumptions!$B$40/12*(1+Assumptions!$B$11)^(AI5-1)</f>
        <v>-700.41666666666663</v>
      </c>
      <c r="AJ28" s="64">
        <f>-Assumptions!$B$40/12*(1+Assumptions!$B$11)^(AJ5-1)</f>
        <v>-700.41666666666663</v>
      </c>
      <c r="AK28" s="64">
        <f>-Assumptions!$B$40/12*(1+Assumptions!$B$11)^(AK5-1)</f>
        <v>-700.41666666666663</v>
      </c>
      <c r="AL28" s="64">
        <f>-Assumptions!$B$40/12*(1+Assumptions!$B$11)^(AL5-1)</f>
        <v>-700.41666666666663</v>
      </c>
      <c r="AM28" s="64">
        <f>-Assumptions!$B$40/12*(1+Assumptions!$B$11)^(AM5-1)</f>
        <v>-700.41666666666663</v>
      </c>
      <c r="AN28" s="64">
        <f>-Assumptions!$B$40/12*(1+Assumptions!$B$11)^(AN5-1)</f>
        <v>-717.92708333333326</v>
      </c>
      <c r="AO28" s="64">
        <f>-Assumptions!$B$40/12*(1+Assumptions!$B$11)^(AO5-1)</f>
        <v>-717.92708333333326</v>
      </c>
      <c r="AP28" s="64">
        <f>-Assumptions!$B$40/12*(1+Assumptions!$B$11)^(AP5-1)</f>
        <v>-717.92708333333326</v>
      </c>
      <c r="AQ28" s="64">
        <f>-Assumptions!$B$40/12*(1+Assumptions!$B$11)^(AQ5-1)</f>
        <v>-717.92708333333326</v>
      </c>
      <c r="AR28" s="64">
        <f>-Assumptions!$B$40/12*(1+Assumptions!$B$11)^(AR5-1)</f>
        <v>-717.92708333333326</v>
      </c>
      <c r="AS28" s="64">
        <f>-Assumptions!$B$40/12*(1+Assumptions!$B$11)^(AS5-1)</f>
        <v>-717.92708333333326</v>
      </c>
      <c r="AT28" s="64">
        <f>-Assumptions!$B$40/12*(1+Assumptions!$B$11)^(AT5-1)</f>
        <v>-717.92708333333326</v>
      </c>
      <c r="AU28" s="64">
        <f>-Assumptions!$B$40/12*(1+Assumptions!$B$11)^(AU5-1)</f>
        <v>-717.92708333333326</v>
      </c>
      <c r="AV28" s="64">
        <f>-Assumptions!$B$40/12*(1+Assumptions!$B$11)^(AV5-1)</f>
        <v>-717.92708333333326</v>
      </c>
      <c r="AW28" s="64">
        <f>-Assumptions!$B$40/12*(1+Assumptions!$B$11)^(AW5-1)</f>
        <v>-717.92708333333326</v>
      </c>
      <c r="AX28" s="64">
        <f>-Assumptions!$B$40/12*(1+Assumptions!$B$11)^(AX5-1)</f>
        <v>-717.92708333333326</v>
      </c>
      <c r="AY28" s="64">
        <f>-Assumptions!$B$40/12*(1+Assumptions!$B$11)^(AY5-1)</f>
        <v>-717.92708333333326</v>
      </c>
      <c r="AZ28" s="64">
        <f>-Assumptions!$B$40/12*(1+Assumptions!$B$11)^(AZ5-1)</f>
        <v>-735.87526041666649</v>
      </c>
      <c r="BA28" s="64">
        <f>-Assumptions!$B$40/12*(1+Assumptions!$B$11)^(BA5-1)</f>
        <v>-735.87526041666649</v>
      </c>
      <c r="BB28" s="64">
        <f>-Assumptions!$B$40/12*(1+Assumptions!$B$11)^(BB5-1)</f>
        <v>-735.87526041666649</v>
      </c>
      <c r="BC28" s="64">
        <f>-Assumptions!$B$40/12*(1+Assumptions!$B$11)^(BC5-1)</f>
        <v>-735.87526041666649</v>
      </c>
      <c r="BD28" s="64">
        <f>-Assumptions!$B$40/12*(1+Assumptions!$B$11)^(BD5-1)</f>
        <v>-735.87526041666649</v>
      </c>
      <c r="BE28" s="64">
        <f>-Assumptions!$B$40/12*(1+Assumptions!$B$11)^(BE5-1)</f>
        <v>-735.87526041666649</v>
      </c>
      <c r="BF28" s="64">
        <f>-Assumptions!$B$40/12*(1+Assumptions!$B$11)^(BF5-1)</f>
        <v>-735.87526041666649</v>
      </c>
      <c r="BG28" s="64">
        <f>-Assumptions!$B$40/12*(1+Assumptions!$B$11)^(BG5-1)</f>
        <v>-735.87526041666649</v>
      </c>
      <c r="BH28" s="64">
        <f>-Assumptions!$B$40/12*(1+Assumptions!$B$11)^(BH5-1)</f>
        <v>-735.87526041666649</v>
      </c>
      <c r="BI28" s="64">
        <f>-Assumptions!$B$40/12*(1+Assumptions!$B$11)^(BI5-1)</f>
        <v>-735.87526041666649</v>
      </c>
      <c r="BJ28" s="64">
        <f>-Assumptions!$B$40/12*(1+Assumptions!$B$11)^(BJ5-1)</f>
        <v>-735.87526041666649</v>
      </c>
      <c r="BK28" s="64">
        <f>-Assumptions!$B$40/12*(1+Assumptions!$B$11)^(BK5-1)</f>
        <v>-735.87526041666649</v>
      </c>
      <c r="BL28" s="64">
        <f>-Assumptions!$B$40/12*(1+Assumptions!$B$11)^(BL5-1)</f>
        <v>-754.27214192708311</v>
      </c>
      <c r="BM28" s="64">
        <f>-Assumptions!$B$40/12*(1+Assumptions!$B$11)^(BM5-1)</f>
        <v>-754.27214192708311</v>
      </c>
      <c r="BN28" s="64">
        <f>-Assumptions!$B$40/12*(1+Assumptions!$B$11)^(BN5-1)</f>
        <v>-754.27214192708311</v>
      </c>
      <c r="BO28" s="64">
        <f>-Assumptions!$B$40/12*(1+Assumptions!$B$11)^(BO5-1)</f>
        <v>-754.27214192708311</v>
      </c>
      <c r="BP28" s="64">
        <f>-Assumptions!$B$40/12*(1+Assumptions!$B$11)^(BP5-1)</f>
        <v>-754.27214192708311</v>
      </c>
      <c r="BQ28" s="64">
        <f>-Assumptions!$B$40/12*(1+Assumptions!$B$11)^(BQ5-1)</f>
        <v>-754.27214192708311</v>
      </c>
      <c r="BR28" s="64">
        <f>-Assumptions!$B$40/12*(1+Assumptions!$B$11)^(BR5-1)</f>
        <v>-754.27214192708311</v>
      </c>
      <c r="BS28" s="64">
        <f>-Assumptions!$B$40/12*(1+Assumptions!$B$11)^(BS5-1)</f>
        <v>-754.27214192708311</v>
      </c>
      <c r="BT28" s="64">
        <f>-Assumptions!$B$40/12*(1+Assumptions!$B$11)^(BT5-1)</f>
        <v>-754.27214192708311</v>
      </c>
      <c r="BU28" s="64">
        <f>-Assumptions!$B$40/12*(1+Assumptions!$B$11)^(BU5-1)</f>
        <v>-754.27214192708311</v>
      </c>
      <c r="BV28" s="64">
        <f>-Assumptions!$B$40/12*(1+Assumptions!$B$11)^(BV5-1)</f>
        <v>-754.27214192708311</v>
      </c>
      <c r="BW28" s="64">
        <f>-Assumptions!$B$40/12*(1+Assumptions!$B$11)^(BW5-1)</f>
        <v>-754.27214192708311</v>
      </c>
      <c r="BX28" s="64">
        <f>-Assumptions!$B$40/12*(1+Assumptions!$B$11)^(BX5-1)</f>
        <v>-773.12894547526002</v>
      </c>
      <c r="BY28" s="64">
        <f>-Assumptions!$B$40/12*(1+Assumptions!$B$11)^(BY5-1)</f>
        <v>-773.12894547526002</v>
      </c>
      <c r="BZ28" s="64">
        <f>-Assumptions!$B$40/12*(1+Assumptions!$B$11)^(BZ5-1)</f>
        <v>-773.12894547526002</v>
      </c>
      <c r="CA28" s="64">
        <f>-Assumptions!$B$40/12*(1+Assumptions!$B$11)^(CA5-1)</f>
        <v>-773.12894547526002</v>
      </c>
      <c r="CB28" s="64">
        <f>-Assumptions!$B$40/12*(1+Assumptions!$B$11)^(CB5-1)</f>
        <v>-773.12894547526002</v>
      </c>
      <c r="CC28" s="64">
        <f>-Assumptions!$B$40/12*(1+Assumptions!$B$11)^(CC5-1)</f>
        <v>-773.12894547526002</v>
      </c>
      <c r="CD28" s="64">
        <f>-Assumptions!$B$40/12*(1+Assumptions!$B$11)^(CD5-1)</f>
        <v>-773.12894547526002</v>
      </c>
      <c r="CE28" s="64">
        <f>-Assumptions!$B$40/12*(1+Assumptions!$B$11)^(CE5-1)</f>
        <v>-773.12894547526002</v>
      </c>
      <c r="CF28" s="64">
        <f>-Assumptions!$B$40/12*(1+Assumptions!$B$11)^(CF5-1)</f>
        <v>-773.12894547526002</v>
      </c>
      <c r="CG28" s="64">
        <f>-Assumptions!$B$40/12*(1+Assumptions!$B$11)^(CG5-1)</f>
        <v>-773.12894547526002</v>
      </c>
      <c r="CH28" s="64">
        <f>-Assumptions!$B$40/12*(1+Assumptions!$B$11)^(CH5-1)</f>
        <v>-773.12894547526002</v>
      </c>
      <c r="CI28" s="64">
        <f>-Assumptions!$B$40/12*(1+Assumptions!$B$11)^(CI5-1)</f>
        <v>-773.12894547526002</v>
      </c>
      <c r="CJ28" s="64">
        <f>-Assumptions!$B$40/12*(1+Assumptions!$B$11)^(CJ5-1)</f>
        <v>-792.45716911214163</v>
      </c>
      <c r="CK28" s="64">
        <f>-Assumptions!$B$40/12*(1+Assumptions!$B$11)^(CK5-1)</f>
        <v>-792.45716911214163</v>
      </c>
      <c r="CL28" s="64">
        <f>-Assumptions!$B$40/12*(1+Assumptions!$B$11)^(CL5-1)</f>
        <v>-792.45716911214163</v>
      </c>
      <c r="CM28" s="64">
        <f>-Assumptions!$B$40/12*(1+Assumptions!$B$11)^(CM5-1)</f>
        <v>-792.45716911214163</v>
      </c>
      <c r="CN28" s="64">
        <f>-Assumptions!$B$40/12*(1+Assumptions!$B$11)^(CN5-1)</f>
        <v>-792.45716911214163</v>
      </c>
      <c r="CO28" s="64">
        <f>-Assumptions!$B$40/12*(1+Assumptions!$B$11)^(CO5-1)</f>
        <v>-792.45716911214163</v>
      </c>
      <c r="CP28" s="64">
        <f>-Assumptions!$B$40/12*(1+Assumptions!$B$11)^(CP5-1)</f>
        <v>-792.45716911214163</v>
      </c>
      <c r="CQ28" s="64">
        <f>-Assumptions!$B$40/12*(1+Assumptions!$B$11)^(CQ5-1)</f>
        <v>-792.45716911214163</v>
      </c>
      <c r="CR28" s="64">
        <f>-Assumptions!$B$40/12*(1+Assumptions!$B$11)^(CR5-1)</f>
        <v>-792.45716911214163</v>
      </c>
      <c r="CS28" s="64">
        <f>-Assumptions!$B$40/12*(1+Assumptions!$B$11)^(CS5-1)</f>
        <v>-792.45716911214163</v>
      </c>
      <c r="CT28" s="64">
        <f>-Assumptions!$B$40/12*(1+Assumptions!$B$11)^(CT5-1)</f>
        <v>-792.45716911214163</v>
      </c>
      <c r="CU28" s="64">
        <f>-Assumptions!$B$40/12*(1+Assumptions!$B$11)^(CU5-1)</f>
        <v>-792.45716911214163</v>
      </c>
      <c r="CV28" s="64">
        <f>-Assumptions!$B$40/12*(1+Assumptions!$B$11)^(CV5-1)</f>
        <v>-812.26859833994513</v>
      </c>
      <c r="CW28" s="64">
        <f>-Assumptions!$B$40/12*(1+Assumptions!$B$11)^(CW5-1)</f>
        <v>-812.26859833994513</v>
      </c>
      <c r="CX28" s="64">
        <f>-Assumptions!$B$40/12*(1+Assumptions!$B$11)^(CX5-1)</f>
        <v>-812.26859833994513</v>
      </c>
      <c r="CY28" s="64">
        <f>-Assumptions!$B$40/12*(1+Assumptions!$B$11)^(CY5-1)</f>
        <v>-812.26859833994513</v>
      </c>
      <c r="CZ28" s="64">
        <f>-Assumptions!$B$40/12*(1+Assumptions!$B$11)^(CZ5-1)</f>
        <v>-812.26859833994513</v>
      </c>
      <c r="DA28" s="64">
        <f>-Assumptions!$B$40/12*(1+Assumptions!$B$11)^(DA5-1)</f>
        <v>-812.26859833994513</v>
      </c>
      <c r="DB28" s="64">
        <f>-Assumptions!$B$40/12*(1+Assumptions!$B$11)^(DB5-1)</f>
        <v>-812.26859833994513</v>
      </c>
      <c r="DC28" s="64">
        <f>-Assumptions!$B$40/12*(1+Assumptions!$B$11)^(DC5-1)</f>
        <v>-812.26859833994513</v>
      </c>
      <c r="DD28" s="64">
        <f>-Assumptions!$B$40/12*(1+Assumptions!$B$11)^(DD5-1)</f>
        <v>-812.26859833994513</v>
      </c>
      <c r="DE28" s="64">
        <f>-Assumptions!$B$40/12*(1+Assumptions!$B$11)^(DE5-1)</f>
        <v>-812.26859833994513</v>
      </c>
      <c r="DF28" s="64">
        <f>-Assumptions!$B$40/12*(1+Assumptions!$B$11)^(DF5-1)</f>
        <v>-812.26859833994513</v>
      </c>
      <c r="DG28" s="64">
        <f>-Assumptions!$B$40/12*(1+Assumptions!$B$11)^(DG5-1)</f>
        <v>-812.26859833994513</v>
      </c>
      <c r="DH28" s="64">
        <f>-Assumptions!$B$40/12*(1+Assumptions!$B$11)^(DH5-1)</f>
        <v>-832.57531329844358</v>
      </c>
      <c r="DI28" s="64">
        <f>-Assumptions!$B$40/12*(1+Assumptions!$B$11)^(DI5-1)</f>
        <v>-832.57531329844358</v>
      </c>
      <c r="DJ28" s="64">
        <f>-Assumptions!$B$40/12*(1+Assumptions!$B$11)^(DJ5-1)</f>
        <v>-832.57531329844358</v>
      </c>
      <c r="DK28" s="64">
        <f>-Assumptions!$B$40/12*(1+Assumptions!$B$11)^(DK5-1)</f>
        <v>-832.57531329844358</v>
      </c>
      <c r="DL28" s="64">
        <f>-Assumptions!$B$40/12*(1+Assumptions!$B$11)^(DL5-1)</f>
        <v>-832.57531329844358</v>
      </c>
      <c r="DM28" s="64">
        <f>-Assumptions!$B$40/12*(1+Assumptions!$B$11)^(DM5-1)</f>
        <v>-832.57531329844358</v>
      </c>
      <c r="DN28" s="64">
        <f>-Assumptions!$B$40/12*(1+Assumptions!$B$11)^(DN5-1)</f>
        <v>-832.57531329844358</v>
      </c>
      <c r="DO28" s="64">
        <f>-Assumptions!$B$40/12*(1+Assumptions!$B$11)^(DO5-1)</f>
        <v>-832.57531329844358</v>
      </c>
      <c r="DP28" s="64">
        <f>-Assumptions!$B$40/12*(1+Assumptions!$B$11)^(DP5-1)</f>
        <v>-832.57531329844358</v>
      </c>
      <c r="DQ28" s="64">
        <f>-Assumptions!$B$40/12*(1+Assumptions!$B$11)^(DQ5-1)</f>
        <v>-832.57531329844358</v>
      </c>
      <c r="DR28" s="64">
        <f>-Assumptions!$B$40/12*(1+Assumptions!$B$11)^(DR5-1)</f>
        <v>-832.57531329844358</v>
      </c>
      <c r="DS28" s="64">
        <f>-Assumptions!$B$40/12*(1+Assumptions!$B$11)^(DS5-1)</f>
        <v>-832.57531329844358</v>
      </c>
    </row>
    <row r="29" spans="1:123" x14ac:dyDescent="0.25">
      <c r="A29" s="1" t="s">
        <v>94</v>
      </c>
      <c r="D29" s="64">
        <f>-Assumptions!$B$41/12*(1+Assumptions!$B$11)^(D5-1)</f>
        <v>-500</v>
      </c>
      <c r="E29" s="64">
        <f>-Assumptions!$B$41/12*(1+Assumptions!$B$11)^(E5-1)</f>
        <v>-500</v>
      </c>
      <c r="F29" s="64">
        <f>-Assumptions!$B$41/12*(1+Assumptions!$B$11)^(F5-1)</f>
        <v>-500</v>
      </c>
      <c r="G29" s="64">
        <f>-Assumptions!$B$41/12*(1+Assumptions!$B$11)^(G5-1)</f>
        <v>-500</v>
      </c>
      <c r="H29" s="64">
        <f>-Assumptions!$B$41/12*(1+Assumptions!$B$11)^(H5-1)</f>
        <v>-500</v>
      </c>
      <c r="I29" s="64">
        <f>-Assumptions!$B$41/12*(1+Assumptions!$B$11)^(I5-1)</f>
        <v>-500</v>
      </c>
      <c r="J29" s="64">
        <f>-Assumptions!$B$41/12*(1+Assumptions!$B$11)^(J5-1)</f>
        <v>-500</v>
      </c>
      <c r="K29" s="64">
        <f>-Assumptions!$B$41/12*(1+Assumptions!$B$11)^(K5-1)</f>
        <v>-500</v>
      </c>
      <c r="L29" s="64">
        <f>-Assumptions!$B$41/12*(1+Assumptions!$B$11)^(L5-1)</f>
        <v>-500</v>
      </c>
      <c r="M29" s="64">
        <f>-Assumptions!$B$41/12*(1+Assumptions!$B$11)^(M5-1)</f>
        <v>-500</v>
      </c>
      <c r="N29" s="64">
        <f>-Assumptions!$B$41/12*(1+Assumptions!$B$11)^(N5-1)</f>
        <v>-500</v>
      </c>
      <c r="O29" s="64">
        <f>-Assumptions!$B$41/12*(1+Assumptions!$B$11)^(O5-1)</f>
        <v>-500</v>
      </c>
      <c r="P29" s="64">
        <f>-Assumptions!$B$41/12*(1+Assumptions!$B$11)^(P5-1)</f>
        <v>-512.5</v>
      </c>
      <c r="Q29" s="64">
        <f>-Assumptions!$B$41/12*(1+Assumptions!$B$11)^(Q5-1)</f>
        <v>-512.5</v>
      </c>
      <c r="R29" s="64">
        <f>-Assumptions!$B$41/12*(1+Assumptions!$B$11)^(R5-1)</f>
        <v>-512.5</v>
      </c>
      <c r="S29" s="64">
        <f>-Assumptions!$B$41/12*(1+Assumptions!$B$11)^(S5-1)</f>
        <v>-512.5</v>
      </c>
      <c r="T29" s="64">
        <f>-Assumptions!$B$41/12*(1+Assumptions!$B$11)^(T5-1)</f>
        <v>-512.5</v>
      </c>
      <c r="U29" s="64">
        <f>-Assumptions!$B$41/12*(1+Assumptions!$B$11)^(U5-1)</f>
        <v>-512.5</v>
      </c>
      <c r="V29" s="64">
        <f>-Assumptions!$B$41/12*(1+Assumptions!$B$11)^(V5-1)</f>
        <v>-512.5</v>
      </c>
      <c r="W29" s="64">
        <f>-Assumptions!$B$41/12*(1+Assumptions!$B$11)^(W5-1)</f>
        <v>-512.5</v>
      </c>
      <c r="X29" s="64">
        <f>-Assumptions!$B$41/12*(1+Assumptions!$B$11)^(X5-1)</f>
        <v>-512.5</v>
      </c>
      <c r="Y29" s="64">
        <f>-Assumptions!$B$41/12*(1+Assumptions!$B$11)^(Y5-1)</f>
        <v>-512.5</v>
      </c>
      <c r="Z29" s="64">
        <f>-Assumptions!$B$41/12*(1+Assumptions!$B$11)^(Z5-1)</f>
        <v>-512.5</v>
      </c>
      <c r="AA29" s="64">
        <f>-Assumptions!$B$41/12*(1+Assumptions!$B$11)^(AA5-1)</f>
        <v>-512.5</v>
      </c>
      <c r="AB29" s="64">
        <f>-Assumptions!$B$41/12*(1+Assumptions!$B$11)^(AB5-1)</f>
        <v>-525.3125</v>
      </c>
      <c r="AC29" s="64">
        <f>-Assumptions!$B$41/12*(1+Assumptions!$B$11)^(AC5-1)</f>
        <v>-525.3125</v>
      </c>
      <c r="AD29" s="64">
        <f>-Assumptions!$B$41/12*(1+Assumptions!$B$11)^(AD5-1)</f>
        <v>-525.3125</v>
      </c>
      <c r="AE29" s="64">
        <f>-Assumptions!$B$41/12*(1+Assumptions!$B$11)^(AE5-1)</f>
        <v>-525.3125</v>
      </c>
      <c r="AF29" s="64">
        <f>-Assumptions!$B$41/12*(1+Assumptions!$B$11)^(AF5-1)</f>
        <v>-525.3125</v>
      </c>
      <c r="AG29" s="64">
        <f>-Assumptions!$B$41/12*(1+Assumptions!$B$11)^(AG5-1)</f>
        <v>-525.3125</v>
      </c>
      <c r="AH29" s="64">
        <f>-Assumptions!$B$41/12*(1+Assumptions!$B$11)^(AH5-1)</f>
        <v>-525.3125</v>
      </c>
      <c r="AI29" s="64">
        <f>-Assumptions!$B$41/12*(1+Assumptions!$B$11)^(AI5-1)</f>
        <v>-525.3125</v>
      </c>
      <c r="AJ29" s="64">
        <f>-Assumptions!$B$41/12*(1+Assumptions!$B$11)^(AJ5-1)</f>
        <v>-525.3125</v>
      </c>
      <c r="AK29" s="64">
        <f>-Assumptions!$B$41/12*(1+Assumptions!$B$11)^(AK5-1)</f>
        <v>-525.3125</v>
      </c>
      <c r="AL29" s="64">
        <f>-Assumptions!$B$41/12*(1+Assumptions!$B$11)^(AL5-1)</f>
        <v>-525.3125</v>
      </c>
      <c r="AM29" s="64">
        <f>-Assumptions!$B$41/12*(1+Assumptions!$B$11)^(AM5-1)</f>
        <v>-525.3125</v>
      </c>
      <c r="AN29" s="64">
        <f>-Assumptions!$B$41/12*(1+Assumptions!$B$11)^(AN5-1)</f>
        <v>-538.44531249999989</v>
      </c>
      <c r="AO29" s="64">
        <f>-Assumptions!$B$41/12*(1+Assumptions!$B$11)^(AO5-1)</f>
        <v>-538.44531249999989</v>
      </c>
      <c r="AP29" s="64">
        <f>-Assumptions!$B$41/12*(1+Assumptions!$B$11)^(AP5-1)</f>
        <v>-538.44531249999989</v>
      </c>
      <c r="AQ29" s="64">
        <f>-Assumptions!$B$41/12*(1+Assumptions!$B$11)^(AQ5-1)</f>
        <v>-538.44531249999989</v>
      </c>
      <c r="AR29" s="64">
        <f>-Assumptions!$B$41/12*(1+Assumptions!$B$11)^(AR5-1)</f>
        <v>-538.44531249999989</v>
      </c>
      <c r="AS29" s="64">
        <f>-Assumptions!$B$41/12*(1+Assumptions!$B$11)^(AS5-1)</f>
        <v>-538.44531249999989</v>
      </c>
      <c r="AT29" s="64">
        <f>-Assumptions!$B$41/12*(1+Assumptions!$B$11)^(AT5-1)</f>
        <v>-538.44531249999989</v>
      </c>
      <c r="AU29" s="64">
        <f>-Assumptions!$B$41/12*(1+Assumptions!$B$11)^(AU5-1)</f>
        <v>-538.44531249999989</v>
      </c>
      <c r="AV29" s="64">
        <f>-Assumptions!$B$41/12*(1+Assumptions!$B$11)^(AV5-1)</f>
        <v>-538.44531249999989</v>
      </c>
      <c r="AW29" s="64">
        <f>-Assumptions!$B$41/12*(1+Assumptions!$B$11)^(AW5-1)</f>
        <v>-538.44531249999989</v>
      </c>
      <c r="AX29" s="64">
        <f>-Assumptions!$B$41/12*(1+Assumptions!$B$11)^(AX5-1)</f>
        <v>-538.44531249999989</v>
      </c>
      <c r="AY29" s="64">
        <f>-Assumptions!$B$41/12*(1+Assumptions!$B$11)^(AY5-1)</f>
        <v>-538.44531249999989</v>
      </c>
      <c r="AZ29" s="64">
        <f>-Assumptions!$B$41/12*(1+Assumptions!$B$11)^(AZ5-1)</f>
        <v>-551.90644531249984</v>
      </c>
      <c r="BA29" s="64">
        <f>-Assumptions!$B$41/12*(1+Assumptions!$B$11)^(BA5-1)</f>
        <v>-551.90644531249984</v>
      </c>
      <c r="BB29" s="64">
        <f>-Assumptions!$B$41/12*(1+Assumptions!$B$11)^(BB5-1)</f>
        <v>-551.90644531249984</v>
      </c>
      <c r="BC29" s="64">
        <f>-Assumptions!$B$41/12*(1+Assumptions!$B$11)^(BC5-1)</f>
        <v>-551.90644531249984</v>
      </c>
      <c r="BD29" s="64">
        <f>-Assumptions!$B$41/12*(1+Assumptions!$B$11)^(BD5-1)</f>
        <v>-551.90644531249984</v>
      </c>
      <c r="BE29" s="64">
        <f>-Assumptions!$B$41/12*(1+Assumptions!$B$11)^(BE5-1)</f>
        <v>-551.90644531249984</v>
      </c>
      <c r="BF29" s="64">
        <f>-Assumptions!$B$41/12*(1+Assumptions!$B$11)^(BF5-1)</f>
        <v>-551.90644531249984</v>
      </c>
      <c r="BG29" s="64">
        <f>-Assumptions!$B$41/12*(1+Assumptions!$B$11)^(BG5-1)</f>
        <v>-551.90644531249984</v>
      </c>
      <c r="BH29" s="64">
        <f>-Assumptions!$B$41/12*(1+Assumptions!$B$11)^(BH5-1)</f>
        <v>-551.90644531249984</v>
      </c>
      <c r="BI29" s="64">
        <f>-Assumptions!$B$41/12*(1+Assumptions!$B$11)^(BI5-1)</f>
        <v>-551.90644531249984</v>
      </c>
      <c r="BJ29" s="64">
        <f>-Assumptions!$B$41/12*(1+Assumptions!$B$11)^(BJ5-1)</f>
        <v>-551.90644531249984</v>
      </c>
      <c r="BK29" s="64">
        <f>-Assumptions!$B$41/12*(1+Assumptions!$B$11)^(BK5-1)</f>
        <v>-551.90644531249984</v>
      </c>
      <c r="BL29" s="64">
        <f>-Assumptions!$B$41/12*(1+Assumptions!$B$11)^(BL5-1)</f>
        <v>-565.70410644531228</v>
      </c>
      <c r="BM29" s="64">
        <f>-Assumptions!$B$41/12*(1+Assumptions!$B$11)^(BM5-1)</f>
        <v>-565.70410644531228</v>
      </c>
      <c r="BN29" s="64">
        <f>-Assumptions!$B$41/12*(1+Assumptions!$B$11)^(BN5-1)</f>
        <v>-565.70410644531228</v>
      </c>
      <c r="BO29" s="64">
        <f>-Assumptions!$B$41/12*(1+Assumptions!$B$11)^(BO5-1)</f>
        <v>-565.70410644531228</v>
      </c>
      <c r="BP29" s="64">
        <f>-Assumptions!$B$41/12*(1+Assumptions!$B$11)^(BP5-1)</f>
        <v>-565.70410644531228</v>
      </c>
      <c r="BQ29" s="64">
        <f>-Assumptions!$B$41/12*(1+Assumptions!$B$11)^(BQ5-1)</f>
        <v>-565.70410644531228</v>
      </c>
      <c r="BR29" s="64">
        <f>-Assumptions!$B$41/12*(1+Assumptions!$B$11)^(BR5-1)</f>
        <v>-565.70410644531228</v>
      </c>
      <c r="BS29" s="64">
        <f>-Assumptions!$B$41/12*(1+Assumptions!$B$11)^(BS5-1)</f>
        <v>-565.70410644531228</v>
      </c>
      <c r="BT29" s="64">
        <f>-Assumptions!$B$41/12*(1+Assumptions!$B$11)^(BT5-1)</f>
        <v>-565.70410644531228</v>
      </c>
      <c r="BU29" s="64">
        <f>-Assumptions!$B$41/12*(1+Assumptions!$B$11)^(BU5-1)</f>
        <v>-565.70410644531228</v>
      </c>
      <c r="BV29" s="64">
        <f>-Assumptions!$B$41/12*(1+Assumptions!$B$11)^(BV5-1)</f>
        <v>-565.70410644531228</v>
      </c>
      <c r="BW29" s="64">
        <f>-Assumptions!$B$41/12*(1+Assumptions!$B$11)^(BW5-1)</f>
        <v>-565.70410644531228</v>
      </c>
      <c r="BX29" s="64">
        <f>-Assumptions!$B$41/12*(1+Assumptions!$B$11)^(BX5-1)</f>
        <v>-579.84670910644513</v>
      </c>
      <c r="BY29" s="64">
        <f>-Assumptions!$B$41/12*(1+Assumptions!$B$11)^(BY5-1)</f>
        <v>-579.84670910644513</v>
      </c>
      <c r="BZ29" s="64">
        <f>-Assumptions!$B$41/12*(1+Assumptions!$B$11)^(BZ5-1)</f>
        <v>-579.84670910644513</v>
      </c>
      <c r="CA29" s="64">
        <f>-Assumptions!$B$41/12*(1+Assumptions!$B$11)^(CA5-1)</f>
        <v>-579.84670910644513</v>
      </c>
      <c r="CB29" s="64">
        <f>-Assumptions!$B$41/12*(1+Assumptions!$B$11)^(CB5-1)</f>
        <v>-579.84670910644513</v>
      </c>
      <c r="CC29" s="64">
        <f>-Assumptions!$B$41/12*(1+Assumptions!$B$11)^(CC5-1)</f>
        <v>-579.84670910644513</v>
      </c>
      <c r="CD29" s="64">
        <f>-Assumptions!$B$41/12*(1+Assumptions!$B$11)^(CD5-1)</f>
        <v>-579.84670910644513</v>
      </c>
      <c r="CE29" s="64">
        <f>-Assumptions!$B$41/12*(1+Assumptions!$B$11)^(CE5-1)</f>
        <v>-579.84670910644513</v>
      </c>
      <c r="CF29" s="64">
        <f>-Assumptions!$B$41/12*(1+Assumptions!$B$11)^(CF5-1)</f>
        <v>-579.84670910644513</v>
      </c>
      <c r="CG29" s="64">
        <f>-Assumptions!$B$41/12*(1+Assumptions!$B$11)^(CG5-1)</f>
        <v>-579.84670910644513</v>
      </c>
      <c r="CH29" s="64">
        <f>-Assumptions!$B$41/12*(1+Assumptions!$B$11)^(CH5-1)</f>
        <v>-579.84670910644513</v>
      </c>
      <c r="CI29" s="64">
        <f>-Assumptions!$B$41/12*(1+Assumptions!$B$11)^(CI5-1)</f>
        <v>-579.84670910644513</v>
      </c>
      <c r="CJ29" s="64">
        <f>-Assumptions!$B$41/12*(1+Assumptions!$B$11)^(CJ5-1)</f>
        <v>-594.34287683410628</v>
      </c>
      <c r="CK29" s="64">
        <f>-Assumptions!$B$41/12*(1+Assumptions!$B$11)^(CK5-1)</f>
        <v>-594.34287683410628</v>
      </c>
      <c r="CL29" s="64">
        <f>-Assumptions!$B$41/12*(1+Assumptions!$B$11)^(CL5-1)</f>
        <v>-594.34287683410628</v>
      </c>
      <c r="CM29" s="64">
        <f>-Assumptions!$B$41/12*(1+Assumptions!$B$11)^(CM5-1)</f>
        <v>-594.34287683410628</v>
      </c>
      <c r="CN29" s="64">
        <f>-Assumptions!$B$41/12*(1+Assumptions!$B$11)^(CN5-1)</f>
        <v>-594.34287683410628</v>
      </c>
      <c r="CO29" s="64">
        <f>-Assumptions!$B$41/12*(1+Assumptions!$B$11)^(CO5-1)</f>
        <v>-594.34287683410628</v>
      </c>
      <c r="CP29" s="64">
        <f>-Assumptions!$B$41/12*(1+Assumptions!$B$11)^(CP5-1)</f>
        <v>-594.34287683410628</v>
      </c>
      <c r="CQ29" s="64">
        <f>-Assumptions!$B$41/12*(1+Assumptions!$B$11)^(CQ5-1)</f>
        <v>-594.34287683410628</v>
      </c>
      <c r="CR29" s="64">
        <f>-Assumptions!$B$41/12*(1+Assumptions!$B$11)^(CR5-1)</f>
        <v>-594.34287683410628</v>
      </c>
      <c r="CS29" s="64">
        <f>-Assumptions!$B$41/12*(1+Assumptions!$B$11)^(CS5-1)</f>
        <v>-594.34287683410628</v>
      </c>
      <c r="CT29" s="64">
        <f>-Assumptions!$B$41/12*(1+Assumptions!$B$11)^(CT5-1)</f>
        <v>-594.34287683410628</v>
      </c>
      <c r="CU29" s="64">
        <f>-Assumptions!$B$41/12*(1+Assumptions!$B$11)^(CU5-1)</f>
        <v>-594.34287683410628</v>
      </c>
      <c r="CV29" s="64">
        <f>-Assumptions!$B$41/12*(1+Assumptions!$B$11)^(CV5-1)</f>
        <v>-609.20144875495885</v>
      </c>
      <c r="CW29" s="64">
        <f>-Assumptions!$B$41/12*(1+Assumptions!$B$11)^(CW5-1)</f>
        <v>-609.20144875495885</v>
      </c>
      <c r="CX29" s="64">
        <f>-Assumptions!$B$41/12*(1+Assumptions!$B$11)^(CX5-1)</f>
        <v>-609.20144875495885</v>
      </c>
      <c r="CY29" s="64">
        <f>-Assumptions!$B$41/12*(1+Assumptions!$B$11)^(CY5-1)</f>
        <v>-609.20144875495885</v>
      </c>
      <c r="CZ29" s="64">
        <f>-Assumptions!$B$41/12*(1+Assumptions!$B$11)^(CZ5-1)</f>
        <v>-609.20144875495885</v>
      </c>
      <c r="DA29" s="64">
        <f>-Assumptions!$B$41/12*(1+Assumptions!$B$11)^(DA5-1)</f>
        <v>-609.20144875495885</v>
      </c>
      <c r="DB29" s="64">
        <f>-Assumptions!$B$41/12*(1+Assumptions!$B$11)^(DB5-1)</f>
        <v>-609.20144875495885</v>
      </c>
      <c r="DC29" s="64">
        <f>-Assumptions!$B$41/12*(1+Assumptions!$B$11)^(DC5-1)</f>
        <v>-609.20144875495885</v>
      </c>
      <c r="DD29" s="64">
        <f>-Assumptions!$B$41/12*(1+Assumptions!$B$11)^(DD5-1)</f>
        <v>-609.20144875495885</v>
      </c>
      <c r="DE29" s="64">
        <f>-Assumptions!$B$41/12*(1+Assumptions!$B$11)^(DE5-1)</f>
        <v>-609.20144875495885</v>
      </c>
      <c r="DF29" s="64">
        <f>-Assumptions!$B$41/12*(1+Assumptions!$B$11)^(DF5-1)</f>
        <v>-609.20144875495885</v>
      </c>
      <c r="DG29" s="64">
        <f>-Assumptions!$B$41/12*(1+Assumptions!$B$11)^(DG5-1)</f>
        <v>-609.20144875495885</v>
      </c>
      <c r="DH29" s="64">
        <f>-Assumptions!$B$41/12*(1+Assumptions!$B$11)^(DH5-1)</f>
        <v>-624.43148497383277</v>
      </c>
      <c r="DI29" s="64">
        <f>-Assumptions!$B$41/12*(1+Assumptions!$B$11)^(DI5-1)</f>
        <v>-624.43148497383277</v>
      </c>
      <c r="DJ29" s="64">
        <f>-Assumptions!$B$41/12*(1+Assumptions!$B$11)^(DJ5-1)</f>
        <v>-624.43148497383277</v>
      </c>
      <c r="DK29" s="64">
        <f>-Assumptions!$B$41/12*(1+Assumptions!$B$11)^(DK5-1)</f>
        <v>-624.43148497383277</v>
      </c>
      <c r="DL29" s="64">
        <f>-Assumptions!$B$41/12*(1+Assumptions!$B$11)^(DL5-1)</f>
        <v>-624.43148497383277</v>
      </c>
      <c r="DM29" s="64">
        <f>-Assumptions!$B$41/12*(1+Assumptions!$B$11)^(DM5-1)</f>
        <v>-624.43148497383277</v>
      </c>
      <c r="DN29" s="64">
        <f>-Assumptions!$B$41/12*(1+Assumptions!$B$11)^(DN5-1)</f>
        <v>-624.43148497383277</v>
      </c>
      <c r="DO29" s="64">
        <f>-Assumptions!$B$41/12*(1+Assumptions!$B$11)^(DO5-1)</f>
        <v>-624.43148497383277</v>
      </c>
      <c r="DP29" s="64">
        <f>-Assumptions!$B$41/12*(1+Assumptions!$B$11)^(DP5-1)</f>
        <v>-624.43148497383277</v>
      </c>
      <c r="DQ29" s="64">
        <f>-Assumptions!$B$41/12*(1+Assumptions!$B$11)^(DQ5-1)</f>
        <v>-624.43148497383277</v>
      </c>
      <c r="DR29" s="64">
        <f>-Assumptions!$B$41/12*(1+Assumptions!$B$11)^(DR5-1)</f>
        <v>-624.43148497383277</v>
      </c>
      <c r="DS29" s="64">
        <f>-Assumptions!$B$41/12*(1+Assumptions!$B$11)^(DS5-1)</f>
        <v>-624.43148497383277</v>
      </c>
    </row>
    <row r="30" spans="1:123" x14ac:dyDescent="0.25">
      <c r="A30" s="1" t="s">
        <v>95</v>
      </c>
      <c r="D30" s="64">
        <f>-Assumptions!$B$42/12*(1+Assumptions!$B$11)^(D5-1)</f>
        <v>-833.33333333333337</v>
      </c>
      <c r="E30" s="64">
        <f>-Assumptions!$B$42/12*(1+Assumptions!$B$11)^(E5-1)</f>
        <v>-833.33333333333337</v>
      </c>
      <c r="F30" s="64">
        <f>-Assumptions!$B$42/12*(1+Assumptions!$B$11)^(F5-1)</f>
        <v>-833.33333333333337</v>
      </c>
      <c r="G30" s="64">
        <f>-Assumptions!$B$42/12*(1+Assumptions!$B$11)^(G5-1)</f>
        <v>-833.33333333333337</v>
      </c>
      <c r="H30" s="64">
        <f>-Assumptions!$B$42/12*(1+Assumptions!$B$11)^(H5-1)</f>
        <v>-833.33333333333337</v>
      </c>
      <c r="I30" s="64">
        <f>-Assumptions!$B$42/12*(1+Assumptions!$B$11)^(I5-1)</f>
        <v>-833.33333333333337</v>
      </c>
      <c r="J30" s="64">
        <f>-Assumptions!$B$42/12*(1+Assumptions!$B$11)^(J5-1)</f>
        <v>-833.33333333333337</v>
      </c>
      <c r="K30" s="64">
        <f>-Assumptions!$B$42/12*(1+Assumptions!$B$11)^(K5-1)</f>
        <v>-833.33333333333337</v>
      </c>
      <c r="L30" s="64">
        <f>-Assumptions!$B$42/12*(1+Assumptions!$B$11)^(L5-1)</f>
        <v>-833.33333333333337</v>
      </c>
      <c r="M30" s="64">
        <f>-Assumptions!$B$42/12*(1+Assumptions!$B$11)^(M5-1)</f>
        <v>-833.33333333333337</v>
      </c>
      <c r="N30" s="64">
        <f>-Assumptions!$B$42/12*(1+Assumptions!$B$11)^(N5-1)</f>
        <v>-833.33333333333337</v>
      </c>
      <c r="O30" s="64">
        <f>-Assumptions!$B$42/12*(1+Assumptions!$B$11)^(O5-1)</f>
        <v>-833.33333333333337</v>
      </c>
      <c r="P30" s="64">
        <f>-Assumptions!$B$42/12*(1+Assumptions!$B$11)^(P5-1)</f>
        <v>-854.16666666666663</v>
      </c>
      <c r="Q30" s="64">
        <f>-Assumptions!$B$42/12*(1+Assumptions!$B$11)^(Q5-1)</f>
        <v>-854.16666666666663</v>
      </c>
      <c r="R30" s="64">
        <f>-Assumptions!$B$42/12*(1+Assumptions!$B$11)^(R5-1)</f>
        <v>-854.16666666666663</v>
      </c>
      <c r="S30" s="64">
        <f>-Assumptions!$B$42/12*(1+Assumptions!$B$11)^(S5-1)</f>
        <v>-854.16666666666663</v>
      </c>
      <c r="T30" s="64">
        <f>-Assumptions!$B$42/12*(1+Assumptions!$B$11)^(T5-1)</f>
        <v>-854.16666666666663</v>
      </c>
      <c r="U30" s="64">
        <f>-Assumptions!$B$42/12*(1+Assumptions!$B$11)^(U5-1)</f>
        <v>-854.16666666666663</v>
      </c>
      <c r="V30" s="64">
        <f>-Assumptions!$B$42/12*(1+Assumptions!$B$11)^(V5-1)</f>
        <v>-854.16666666666663</v>
      </c>
      <c r="W30" s="64">
        <f>-Assumptions!$B$42/12*(1+Assumptions!$B$11)^(W5-1)</f>
        <v>-854.16666666666663</v>
      </c>
      <c r="X30" s="64">
        <f>-Assumptions!$B$42/12*(1+Assumptions!$B$11)^(X5-1)</f>
        <v>-854.16666666666663</v>
      </c>
      <c r="Y30" s="64">
        <f>-Assumptions!$B$42/12*(1+Assumptions!$B$11)^(Y5-1)</f>
        <v>-854.16666666666663</v>
      </c>
      <c r="Z30" s="64">
        <f>-Assumptions!$B$42/12*(1+Assumptions!$B$11)^(Z5-1)</f>
        <v>-854.16666666666663</v>
      </c>
      <c r="AA30" s="64">
        <f>-Assumptions!$B$42/12*(1+Assumptions!$B$11)^(AA5-1)</f>
        <v>-854.16666666666663</v>
      </c>
      <c r="AB30" s="64">
        <f>-Assumptions!$B$42/12*(1+Assumptions!$B$11)^(AB5-1)</f>
        <v>-875.52083333333326</v>
      </c>
      <c r="AC30" s="64">
        <f>-Assumptions!$B$42/12*(1+Assumptions!$B$11)^(AC5-1)</f>
        <v>-875.52083333333326</v>
      </c>
      <c r="AD30" s="64">
        <f>-Assumptions!$B$42/12*(1+Assumptions!$B$11)^(AD5-1)</f>
        <v>-875.52083333333326</v>
      </c>
      <c r="AE30" s="64">
        <f>-Assumptions!$B$42/12*(1+Assumptions!$B$11)^(AE5-1)</f>
        <v>-875.52083333333326</v>
      </c>
      <c r="AF30" s="64">
        <f>-Assumptions!$B$42/12*(1+Assumptions!$B$11)^(AF5-1)</f>
        <v>-875.52083333333326</v>
      </c>
      <c r="AG30" s="64">
        <f>-Assumptions!$B$42/12*(1+Assumptions!$B$11)^(AG5-1)</f>
        <v>-875.52083333333326</v>
      </c>
      <c r="AH30" s="64">
        <f>-Assumptions!$B$42/12*(1+Assumptions!$B$11)^(AH5-1)</f>
        <v>-875.52083333333326</v>
      </c>
      <c r="AI30" s="64">
        <f>-Assumptions!$B$42/12*(1+Assumptions!$B$11)^(AI5-1)</f>
        <v>-875.52083333333326</v>
      </c>
      <c r="AJ30" s="64">
        <f>-Assumptions!$B$42/12*(1+Assumptions!$B$11)^(AJ5-1)</f>
        <v>-875.52083333333326</v>
      </c>
      <c r="AK30" s="64">
        <f>-Assumptions!$B$42/12*(1+Assumptions!$B$11)^(AK5-1)</f>
        <v>-875.52083333333326</v>
      </c>
      <c r="AL30" s="64">
        <f>-Assumptions!$B$42/12*(1+Assumptions!$B$11)^(AL5-1)</f>
        <v>-875.52083333333326</v>
      </c>
      <c r="AM30" s="64">
        <f>-Assumptions!$B$42/12*(1+Assumptions!$B$11)^(AM5-1)</f>
        <v>-875.52083333333326</v>
      </c>
      <c r="AN30" s="64">
        <f>-Assumptions!$B$42/12*(1+Assumptions!$B$11)^(AN5-1)</f>
        <v>-897.40885416666663</v>
      </c>
      <c r="AO30" s="64">
        <f>-Assumptions!$B$42/12*(1+Assumptions!$B$11)^(AO5-1)</f>
        <v>-897.40885416666663</v>
      </c>
      <c r="AP30" s="64">
        <f>-Assumptions!$B$42/12*(1+Assumptions!$B$11)^(AP5-1)</f>
        <v>-897.40885416666663</v>
      </c>
      <c r="AQ30" s="64">
        <f>-Assumptions!$B$42/12*(1+Assumptions!$B$11)^(AQ5-1)</f>
        <v>-897.40885416666663</v>
      </c>
      <c r="AR30" s="64">
        <f>-Assumptions!$B$42/12*(1+Assumptions!$B$11)^(AR5-1)</f>
        <v>-897.40885416666663</v>
      </c>
      <c r="AS30" s="64">
        <f>-Assumptions!$B$42/12*(1+Assumptions!$B$11)^(AS5-1)</f>
        <v>-897.40885416666663</v>
      </c>
      <c r="AT30" s="64">
        <f>-Assumptions!$B$42/12*(1+Assumptions!$B$11)^(AT5-1)</f>
        <v>-897.40885416666663</v>
      </c>
      <c r="AU30" s="64">
        <f>-Assumptions!$B$42/12*(1+Assumptions!$B$11)^(AU5-1)</f>
        <v>-897.40885416666663</v>
      </c>
      <c r="AV30" s="64">
        <f>-Assumptions!$B$42/12*(1+Assumptions!$B$11)^(AV5-1)</f>
        <v>-897.40885416666663</v>
      </c>
      <c r="AW30" s="64">
        <f>-Assumptions!$B$42/12*(1+Assumptions!$B$11)^(AW5-1)</f>
        <v>-897.40885416666663</v>
      </c>
      <c r="AX30" s="64">
        <f>-Assumptions!$B$42/12*(1+Assumptions!$B$11)^(AX5-1)</f>
        <v>-897.40885416666663</v>
      </c>
      <c r="AY30" s="64">
        <f>-Assumptions!$B$42/12*(1+Assumptions!$B$11)^(AY5-1)</f>
        <v>-897.40885416666663</v>
      </c>
      <c r="AZ30" s="64">
        <f>-Assumptions!$B$42/12*(1+Assumptions!$B$11)^(AZ5-1)</f>
        <v>-919.84407552083314</v>
      </c>
      <c r="BA30" s="64">
        <f>-Assumptions!$B$42/12*(1+Assumptions!$B$11)^(BA5-1)</f>
        <v>-919.84407552083314</v>
      </c>
      <c r="BB30" s="64">
        <f>-Assumptions!$B$42/12*(1+Assumptions!$B$11)^(BB5-1)</f>
        <v>-919.84407552083314</v>
      </c>
      <c r="BC30" s="64">
        <f>-Assumptions!$B$42/12*(1+Assumptions!$B$11)^(BC5-1)</f>
        <v>-919.84407552083314</v>
      </c>
      <c r="BD30" s="64">
        <f>-Assumptions!$B$42/12*(1+Assumptions!$B$11)^(BD5-1)</f>
        <v>-919.84407552083314</v>
      </c>
      <c r="BE30" s="64">
        <f>-Assumptions!$B$42/12*(1+Assumptions!$B$11)^(BE5-1)</f>
        <v>-919.84407552083314</v>
      </c>
      <c r="BF30" s="64">
        <f>-Assumptions!$B$42/12*(1+Assumptions!$B$11)^(BF5-1)</f>
        <v>-919.84407552083314</v>
      </c>
      <c r="BG30" s="64">
        <f>-Assumptions!$B$42/12*(1+Assumptions!$B$11)^(BG5-1)</f>
        <v>-919.84407552083314</v>
      </c>
      <c r="BH30" s="64">
        <f>-Assumptions!$B$42/12*(1+Assumptions!$B$11)^(BH5-1)</f>
        <v>-919.84407552083314</v>
      </c>
      <c r="BI30" s="64">
        <f>-Assumptions!$B$42/12*(1+Assumptions!$B$11)^(BI5-1)</f>
        <v>-919.84407552083314</v>
      </c>
      <c r="BJ30" s="64">
        <f>-Assumptions!$B$42/12*(1+Assumptions!$B$11)^(BJ5-1)</f>
        <v>-919.84407552083314</v>
      </c>
      <c r="BK30" s="64">
        <f>-Assumptions!$B$42/12*(1+Assumptions!$B$11)^(BK5-1)</f>
        <v>-919.84407552083314</v>
      </c>
      <c r="BL30" s="64">
        <f>-Assumptions!$B$42/12*(1+Assumptions!$B$11)^(BL5-1)</f>
        <v>-942.84017740885395</v>
      </c>
      <c r="BM30" s="64">
        <f>-Assumptions!$B$42/12*(1+Assumptions!$B$11)^(BM5-1)</f>
        <v>-942.84017740885395</v>
      </c>
      <c r="BN30" s="64">
        <f>-Assumptions!$B$42/12*(1+Assumptions!$B$11)^(BN5-1)</f>
        <v>-942.84017740885395</v>
      </c>
      <c r="BO30" s="64">
        <f>-Assumptions!$B$42/12*(1+Assumptions!$B$11)^(BO5-1)</f>
        <v>-942.84017740885395</v>
      </c>
      <c r="BP30" s="64">
        <f>-Assumptions!$B$42/12*(1+Assumptions!$B$11)^(BP5-1)</f>
        <v>-942.84017740885395</v>
      </c>
      <c r="BQ30" s="64">
        <f>-Assumptions!$B$42/12*(1+Assumptions!$B$11)^(BQ5-1)</f>
        <v>-942.84017740885395</v>
      </c>
      <c r="BR30" s="64">
        <f>-Assumptions!$B$42/12*(1+Assumptions!$B$11)^(BR5-1)</f>
        <v>-942.84017740885395</v>
      </c>
      <c r="BS30" s="64">
        <f>-Assumptions!$B$42/12*(1+Assumptions!$B$11)^(BS5-1)</f>
        <v>-942.84017740885395</v>
      </c>
      <c r="BT30" s="64">
        <f>-Assumptions!$B$42/12*(1+Assumptions!$B$11)^(BT5-1)</f>
        <v>-942.84017740885395</v>
      </c>
      <c r="BU30" s="64">
        <f>-Assumptions!$B$42/12*(1+Assumptions!$B$11)^(BU5-1)</f>
        <v>-942.84017740885395</v>
      </c>
      <c r="BV30" s="64">
        <f>-Assumptions!$B$42/12*(1+Assumptions!$B$11)^(BV5-1)</f>
        <v>-942.84017740885395</v>
      </c>
      <c r="BW30" s="64">
        <f>-Assumptions!$B$42/12*(1+Assumptions!$B$11)^(BW5-1)</f>
        <v>-942.84017740885395</v>
      </c>
      <c r="BX30" s="64">
        <f>-Assumptions!$B$42/12*(1+Assumptions!$B$11)^(BX5-1)</f>
        <v>-966.41118184407514</v>
      </c>
      <c r="BY30" s="64">
        <f>-Assumptions!$B$42/12*(1+Assumptions!$B$11)^(BY5-1)</f>
        <v>-966.41118184407514</v>
      </c>
      <c r="BZ30" s="64">
        <f>-Assumptions!$B$42/12*(1+Assumptions!$B$11)^(BZ5-1)</f>
        <v>-966.41118184407514</v>
      </c>
      <c r="CA30" s="64">
        <f>-Assumptions!$B$42/12*(1+Assumptions!$B$11)^(CA5-1)</f>
        <v>-966.41118184407514</v>
      </c>
      <c r="CB30" s="64">
        <f>-Assumptions!$B$42/12*(1+Assumptions!$B$11)^(CB5-1)</f>
        <v>-966.41118184407514</v>
      </c>
      <c r="CC30" s="64">
        <f>-Assumptions!$B$42/12*(1+Assumptions!$B$11)^(CC5-1)</f>
        <v>-966.41118184407514</v>
      </c>
      <c r="CD30" s="64">
        <f>-Assumptions!$B$42/12*(1+Assumptions!$B$11)^(CD5-1)</f>
        <v>-966.41118184407514</v>
      </c>
      <c r="CE30" s="64">
        <f>-Assumptions!$B$42/12*(1+Assumptions!$B$11)^(CE5-1)</f>
        <v>-966.41118184407514</v>
      </c>
      <c r="CF30" s="64">
        <f>-Assumptions!$B$42/12*(1+Assumptions!$B$11)^(CF5-1)</f>
        <v>-966.41118184407514</v>
      </c>
      <c r="CG30" s="64">
        <f>-Assumptions!$B$42/12*(1+Assumptions!$B$11)^(CG5-1)</f>
        <v>-966.41118184407514</v>
      </c>
      <c r="CH30" s="64">
        <f>-Assumptions!$B$42/12*(1+Assumptions!$B$11)^(CH5-1)</f>
        <v>-966.41118184407514</v>
      </c>
      <c r="CI30" s="64">
        <f>-Assumptions!$B$42/12*(1+Assumptions!$B$11)^(CI5-1)</f>
        <v>-966.41118184407514</v>
      </c>
      <c r="CJ30" s="64">
        <f>-Assumptions!$B$42/12*(1+Assumptions!$B$11)^(CJ5-1)</f>
        <v>-990.57146139017709</v>
      </c>
      <c r="CK30" s="64">
        <f>-Assumptions!$B$42/12*(1+Assumptions!$B$11)^(CK5-1)</f>
        <v>-990.57146139017709</v>
      </c>
      <c r="CL30" s="64">
        <f>-Assumptions!$B$42/12*(1+Assumptions!$B$11)^(CL5-1)</f>
        <v>-990.57146139017709</v>
      </c>
      <c r="CM30" s="64">
        <f>-Assumptions!$B$42/12*(1+Assumptions!$B$11)^(CM5-1)</f>
        <v>-990.57146139017709</v>
      </c>
      <c r="CN30" s="64">
        <f>-Assumptions!$B$42/12*(1+Assumptions!$B$11)^(CN5-1)</f>
        <v>-990.57146139017709</v>
      </c>
      <c r="CO30" s="64">
        <f>-Assumptions!$B$42/12*(1+Assumptions!$B$11)^(CO5-1)</f>
        <v>-990.57146139017709</v>
      </c>
      <c r="CP30" s="64">
        <f>-Assumptions!$B$42/12*(1+Assumptions!$B$11)^(CP5-1)</f>
        <v>-990.57146139017709</v>
      </c>
      <c r="CQ30" s="64">
        <f>-Assumptions!$B$42/12*(1+Assumptions!$B$11)^(CQ5-1)</f>
        <v>-990.57146139017709</v>
      </c>
      <c r="CR30" s="64">
        <f>-Assumptions!$B$42/12*(1+Assumptions!$B$11)^(CR5-1)</f>
        <v>-990.57146139017709</v>
      </c>
      <c r="CS30" s="64">
        <f>-Assumptions!$B$42/12*(1+Assumptions!$B$11)^(CS5-1)</f>
        <v>-990.57146139017709</v>
      </c>
      <c r="CT30" s="64">
        <f>-Assumptions!$B$42/12*(1+Assumptions!$B$11)^(CT5-1)</f>
        <v>-990.57146139017709</v>
      </c>
      <c r="CU30" s="64">
        <f>-Assumptions!$B$42/12*(1+Assumptions!$B$11)^(CU5-1)</f>
        <v>-990.57146139017709</v>
      </c>
      <c r="CV30" s="64">
        <f>-Assumptions!$B$42/12*(1+Assumptions!$B$11)^(CV5-1)</f>
        <v>-1015.3357479249314</v>
      </c>
      <c r="CW30" s="64">
        <f>-Assumptions!$B$42/12*(1+Assumptions!$B$11)^(CW5-1)</f>
        <v>-1015.3357479249314</v>
      </c>
      <c r="CX30" s="64">
        <f>-Assumptions!$B$42/12*(1+Assumptions!$B$11)^(CX5-1)</f>
        <v>-1015.3357479249314</v>
      </c>
      <c r="CY30" s="64">
        <f>-Assumptions!$B$42/12*(1+Assumptions!$B$11)^(CY5-1)</f>
        <v>-1015.3357479249314</v>
      </c>
      <c r="CZ30" s="64">
        <f>-Assumptions!$B$42/12*(1+Assumptions!$B$11)^(CZ5-1)</f>
        <v>-1015.3357479249314</v>
      </c>
      <c r="DA30" s="64">
        <f>-Assumptions!$B$42/12*(1+Assumptions!$B$11)^(DA5-1)</f>
        <v>-1015.3357479249314</v>
      </c>
      <c r="DB30" s="64">
        <f>-Assumptions!$B$42/12*(1+Assumptions!$B$11)^(DB5-1)</f>
        <v>-1015.3357479249314</v>
      </c>
      <c r="DC30" s="64">
        <f>-Assumptions!$B$42/12*(1+Assumptions!$B$11)^(DC5-1)</f>
        <v>-1015.3357479249314</v>
      </c>
      <c r="DD30" s="64">
        <f>-Assumptions!$B$42/12*(1+Assumptions!$B$11)^(DD5-1)</f>
        <v>-1015.3357479249314</v>
      </c>
      <c r="DE30" s="64">
        <f>-Assumptions!$B$42/12*(1+Assumptions!$B$11)^(DE5-1)</f>
        <v>-1015.3357479249314</v>
      </c>
      <c r="DF30" s="64">
        <f>-Assumptions!$B$42/12*(1+Assumptions!$B$11)^(DF5-1)</f>
        <v>-1015.3357479249314</v>
      </c>
      <c r="DG30" s="64">
        <f>-Assumptions!$B$42/12*(1+Assumptions!$B$11)^(DG5-1)</f>
        <v>-1015.3357479249314</v>
      </c>
      <c r="DH30" s="64">
        <f>-Assumptions!$B$42/12*(1+Assumptions!$B$11)^(DH5-1)</f>
        <v>-1040.7191416230546</v>
      </c>
      <c r="DI30" s="64">
        <f>-Assumptions!$B$42/12*(1+Assumptions!$B$11)^(DI5-1)</f>
        <v>-1040.7191416230546</v>
      </c>
      <c r="DJ30" s="64">
        <f>-Assumptions!$B$42/12*(1+Assumptions!$B$11)^(DJ5-1)</f>
        <v>-1040.7191416230546</v>
      </c>
      <c r="DK30" s="64">
        <f>-Assumptions!$B$42/12*(1+Assumptions!$B$11)^(DK5-1)</f>
        <v>-1040.7191416230546</v>
      </c>
      <c r="DL30" s="64">
        <f>-Assumptions!$B$42/12*(1+Assumptions!$B$11)^(DL5-1)</f>
        <v>-1040.7191416230546</v>
      </c>
      <c r="DM30" s="64">
        <f>-Assumptions!$B$42/12*(1+Assumptions!$B$11)^(DM5-1)</f>
        <v>-1040.7191416230546</v>
      </c>
      <c r="DN30" s="64">
        <f>-Assumptions!$B$42/12*(1+Assumptions!$B$11)^(DN5-1)</f>
        <v>-1040.7191416230546</v>
      </c>
      <c r="DO30" s="64">
        <f>-Assumptions!$B$42/12*(1+Assumptions!$B$11)^(DO5-1)</f>
        <v>-1040.7191416230546</v>
      </c>
      <c r="DP30" s="64">
        <f>-Assumptions!$B$42/12*(1+Assumptions!$B$11)^(DP5-1)</f>
        <v>-1040.7191416230546</v>
      </c>
      <c r="DQ30" s="64">
        <f>-Assumptions!$B$42/12*(1+Assumptions!$B$11)^(DQ5-1)</f>
        <v>-1040.7191416230546</v>
      </c>
      <c r="DR30" s="64">
        <f>-Assumptions!$B$42/12*(1+Assumptions!$B$11)^(DR5-1)</f>
        <v>-1040.7191416230546</v>
      </c>
      <c r="DS30" s="64">
        <f>-Assumptions!$B$42/12*(1+Assumptions!$B$11)^(DS5-1)</f>
        <v>-1040.7191416230546</v>
      </c>
    </row>
    <row r="31" spans="1:123" x14ac:dyDescent="0.25">
      <c r="A31" s="1" t="s">
        <v>96</v>
      </c>
      <c r="D31" s="64">
        <f>-Assumptions!$B$43/12*(1+Assumptions!$B$11)^(D5-1)</f>
        <v>-416.66666666666669</v>
      </c>
      <c r="E31" s="64">
        <f>-Assumptions!$B$43/12*(1+Assumptions!$B$11)^(E5-1)</f>
        <v>-416.66666666666669</v>
      </c>
      <c r="F31" s="64">
        <f>-Assumptions!$B$43/12*(1+Assumptions!$B$11)^(F5-1)</f>
        <v>-416.66666666666669</v>
      </c>
      <c r="G31" s="64">
        <f>-Assumptions!$B$43/12*(1+Assumptions!$B$11)^(G5-1)</f>
        <v>-416.66666666666669</v>
      </c>
      <c r="H31" s="64">
        <f>-Assumptions!$B$43/12*(1+Assumptions!$B$11)^(H5-1)</f>
        <v>-416.66666666666669</v>
      </c>
      <c r="I31" s="64">
        <f>-Assumptions!$B$43/12*(1+Assumptions!$B$11)^(I5-1)</f>
        <v>-416.66666666666669</v>
      </c>
      <c r="J31" s="64">
        <f>-Assumptions!$B$43/12*(1+Assumptions!$B$11)^(J5-1)</f>
        <v>-416.66666666666669</v>
      </c>
      <c r="K31" s="64">
        <f>-Assumptions!$B$43/12*(1+Assumptions!$B$11)^(K5-1)</f>
        <v>-416.66666666666669</v>
      </c>
      <c r="L31" s="64">
        <f>-Assumptions!$B$43/12*(1+Assumptions!$B$11)^(L5-1)</f>
        <v>-416.66666666666669</v>
      </c>
      <c r="M31" s="64">
        <f>-Assumptions!$B$43/12*(1+Assumptions!$B$11)^(M5-1)</f>
        <v>-416.66666666666669</v>
      </c>
      <c r="N31" s="64">
        <f>-Assumptions!$B$43/12*(1+Assumptions!$B$11)^(N5-1)</f>
        <v>-416.66666666666669</v>
      </c>
      <c r="O31" s="64">
        <f>-Assumptions!$B$43/12*(1+Assumptions!$B$11)^(O5-1)</f>
        <v>-416.66666666666669</v>
      </c>
      <c r="P31" s="64">
        <f>-Assumptions!$B$43/12*(1+Assumptions!$B$11)^(P5-1)</f>
        <v>-427.08333333333331</v>
      </c>
      <c r="Q31" s="64">
        <f>-Assumptions!$B$43/12*(1+Assumptions!$B$11)^(Q5-1)</f>
        <v>-427.08333333333331</v>
      </c>
      <c r="R31" s="64">
        <f>-Assumptions!$B$43/12*(1+Assumptions!$B$11)^(R5-1)</f>
        <v>-427.08333333333331</v>
      </c>
      <c r="S31" s="64">
        <f>-Assumptions!$B$43/12*(1+Assumptions!$B$11)^(S5-1)</f>
        <v>-427.08333333333331</v>
      </c>
      <c r="T31" s="64">
        <f>-Assumptions!$B$43/12*(1+Assumptions!$B$11)^(T5-1)</f>
        <v>-427.08333333333331</v>
      </c>
      <c r="U31" s="64">
        <f>-Assumptions!$B$43/12*(1+Assumptions!$B$11)^(U5-1)</f>
        <v>-427.08333333333331</v>
      </c>
      <c r="V31" s="64">
        <f>-Assumptions!$B$43/12*(1+Assumptions!$B$11)^(V5-1)</f>
        <v>-427.08333333333331</v>
      </c>
      <c r="W31" s="64">
        <f>-Assumptions!$B$43/12*(1+Assumptions!$B$11)^(W5-1)</f>
        <v>-427.08333333333331</v>
      </c>
      <c r="X31" s="64">
        <f>-Assumptions!$B$43/12*(1+Assumptions!$B$11)^(X5-1)</f>
        <v>-427.08333333333331</v>
      </c>
      <c r="Y31" s="64">
        <f>-Assumptions!$B$43/12*(1+Assumptions!$B$11)^(Y5-1)</f>
        <v>-427.08333333333331</v>
      </c>
      <c r="Z31" s="64">
        <f>-Assumptions!$B$43/12*(1+Assumptions!$B$11)^(Z5-1)</f>
        <v>-427.08333333333331</v>
      </c>
      <c r="AA31" s="64">
        <f>-Assumptions!$B$43/12*(1+Assumptions!$B$11)^(AA5-1)</f>
        <v>-427.08333333333331</v>
      </c>
      <c r="AB31" s="64">
        <f>-Assumptions!$B$43/12*(1+Assumptions!$B$11)^(AB5-1)</f>
        <v>-437.76041666666663</v>
      </c>
      <c r="AC31" s="64">
        <f>-Assumptions!$B$43/12*(1+Assumptions!$B$11)^(AC5-1)</f>
        <v>-437.76041666666663</v>
      </c>
      <c r="AD31" s="64">
        <f>-Assumptions!$B$43/12*(1+Assumptions!$B$11)^(AD5-1)</f>
        <v>-437.76041666666663</v>
      </c>
      <c r="AE31" s="64">
        <f>-Assumptions!$B$43/12*(1+Assumptions!$B$11)^(AE5-1)</f>
        <v>-437.76041666666663</v>
      </c>
      <c r="AF31" s="64">
        <f>-Assumptions!$B$43/12*(1+Assumptions!$B$11)^(AF5-1)</f>
        <v>-437.76041666666663</v>
      </c>
      <c r="AG31" s="64">
        <f>-Assumptions!$B$43/12*(1+Assumptions!$B$11)^(AG5-1)</f>
        <v>-437.76041666666663</v>
      </c>
      <c r="AH31" s="64">
        <f>-Assumptions!$B$43/12*(1+Assumptions!$B$11)^(AH5-1)</f>
        <v>-437.76041666666663</v>
      </c>
      <c r="AI31" s="64">
        <f>-Assumptions!$B$43/12*(1+Assumptions!$B$11)^(AI5-1)</f>
        <v>-437.76041666666663</v>
      </c>
      <c r="AJ31" s="64">
        <f>-Assumptions!$B$43/12*(1+Assumptions!$B$11)^(AJ5-1)</f>
        <v>-437.76041666666663</v>
      </c>
      <c r="AK31" s="64">
        <f>-Assumptions!$B$43/12*(1+Assumptions!$B$11)^(AK5-1)</f>
        <v>-437.76041666666663</v>
      </c>
      <c r="AL31" s="64">
        <f>-Assumptions!$B$43/12*(1+Assumptions!$B$11)^(AL5-1)</f>
        <v>-437.76041666666663</v>
      </c>
      <c r="AM31" s="64">
        <f>-Assumptions!$B$43/12*(1+Assumptions!$B$11)^(AM5-1)</f>
        <v>-437.76041666666663</v>
      </c>
      <c r="AN31" s="64">
        <f>-Assumptions!$B$43/12*(1+Assumptions!$B$11)^(AN5-1)</f>
        <v>-448.70442708333331</v>
      </c>
      <c r="AO31" s="64">
        <f>-Assumptions!$B$43/12*(1+Assumptions!$B$11)^(AO5-1)</f>
        <v>-448.70442708333331</v>
      </c>
      <c r="AP31" s="64">
        <f>-Assumptions!$B$43/12*(1+Assumptions!$B$11)^(AP5-1)</f>
        <v>-448.70442708333331</v>
      </c>
      <c r="AQ31" s="64">
        <f>-Assumptions!$B$43/12*(1+Assumptions!$B$11)^(AQ5-1)</f>
        <v>-448.70442708333331</v>
      </c>
      <c r="AR31" s="64">
        <f>-Assumptions!$B$43/12*(1+Assumptions!$B$11)^(AR5-1)</f>
        <v>-448.70442708333331</v>
      </c>
      <c r="AS31" s="64">
        <f>-Assumptions!$B$43/12*(1+Assumptions!$B$11)^(AS5-1)</f>
        <v>-448.70442708333331</v>
      </c>
      <c r="AT31" s="64">
        <f>-Assumptions!$B$43/12*(1+Assumptions!$B$11)^(AT5-1)</f>
        <v>-448.70442708333331</v>
      </c>
      <c r="AU31" s="64">
        <f>-Assumptions!$B$43/12*(1+Assumptions!$B$11)^(AU5-1)</f>
        <v>-448.70442708333331</v>
      </c>
      <c r="AV31" s="64">
        <f>-Assumptions!$B$43/12*(1+Assumptions!$B$11)^(AV5-1)</f>
        <v>-448.70442708333331</v>
      </c>
      <c r="AW31" s="64">
        <f>-Assumptions!$B$43/12*(1+Assumptions!$B$11)^(AW5-1)</f>
        <v>-448.70442708333331</v>
      </c>
      <c r="AX31" s="64">
        <f>-Assumptions!$B$43/12*(1+Assumptions!$B$11)^(AX5-1)</f>
        <v>-448.70442708333331</v>
      </c>
      <c r="AY31" s="64">
        <f>-Assumptions!$B$43/12*(1+Assumptions!$B$11)^(AY5-1)</f>
        <v>-448.70442708333331</v>
      </c>
      <c r="AZ31" s="64">
        <f>-Assumptions!$B$43/12*(1+Assumptions!$B$11)^(AZ5-1)</f>
        <v>-459.92203776041657</v>
      </c>
      <c r="BA31" s="64">
        <f>-Assumptions!$B$43/12*(1+Assumptions!$B$11)^(BA5-1)</f>
        <v>-459.92203776041657</v>
      </c>
      <c r="BB31" s="64">
        <f>-Assumptions!$B$43/12*(1+Assumptions!$B$11)^(BB5-1)</f>
        <v>-459.92203776041657</v>
      </c>
      <c r="BC31" s="64">
        <f>-Assumptions!$B$43/12*(1+Assumptions!$B$11)^(BC5-1)</f>
        <v>-459.92203776041657</v>
      </c>
      <c r="BD31" s="64">
        <f>-Assumptions!$B$43/12*(1+Assumptions!$B$11)^(BD5-1)</f>
        <v>-459.92203776041657</v>
      </c>
      <c r="BE31" s="64">
        <f>-Assumptions!$B$43/12*(1+Assumptions!$B$11)^(BE5-1)</f>
        <v>-459.92203776041657</v>
      </c>
      <c r="BF31" s="64">
        <f>-Assumptions!$B$43/12*(1+Assumptions!$B$11)^(BF5-1)</f>
        <v>-459.92203776041657</v>
      </c>
      <c r="BG31" s="64">
        <f>-Assumptions!$B$43/12*(1+Assumptions!$B$11)^(BG5-1)</f>
        <v>-459.92203776041657</v>
      </c>
      <c r="BH31" s="64">
        <f>-Assumptions!$B$43/12*(1+Assumptions!$B$11)^(BH5-1)</f>
        <v>-459.92203776041657</v>
      </c>
      <c r="BI31" s="64">
        <f>-Assumptions!$B$43/12*(1+Assumptions!$B$11)^(BI5-1)</f>
        <v>-459.92203776041657</v>
      </c>
      <c r="BJ31" s="64">
        <f>-Assumptions!$B$43/12*(1+Assumptions!$B$11)^(BJ5-1)</f>
        <v>-459.92203776041657</v>
      </c>
      <c r="BK31" s="64">
        <f>-Assumptions!$B$43/12*(1+Assumptions!$B$11)^(BK5-1)</f>
        <v>-459.92203776041657</v>
      </c>
      <c r="BL31" s="64">
        <f>-Assumptions!$B$43/12*(1+Assumptions!$B$11)^(BL5-1)</f>
        <v>-471.42008870442697</v>
      </c>
      <c r="BM31" s="64">
        <f>-Assumptions!$B$43/12*(1+Assumptions!$B$11)^(BM5-1)</f>
        <v>-471.42008870442697</v>
      </c>
      <c r="BN31" s="64">
        <f>-Assumptions!$B$43/12*(1+Assumptions!$B$11)^(BN5-1)</f>
        <v>-471.42008870442697</v>
      </c>
      <c r="BO31" s="64">
        <f>-Assumptions!$B$43/12*(1+Assumptions!$B$11)^(BO5-1)</f>
        <v>-471.42008870442697</v>
      </c>
      <c r="BP31" s="64">
        <f>-Assumptions!$B$43/12*(1+Assumptions!$B$11)^(BP5-1)</f>
        <v>-471.42008870442697</v>
      </c>
      <c r="BQ31" s="64">
        <f>-Assumptions!$B$43/12*(1+Assumptions!$B$11)^(BQ5-1)</f>
        <v>-471.42008870442697</v>
      </c>
      <c r="BR31" s="64">
        <f>-Assumptions!$B$43/12*(1+Assumptions!$B$11)^(BR5-1)</f>
        <v>-471.42008870442697</v>
      </c>
      <c r="BS31" s="64">
        <f>-Assumptions!$B$43/12*(1+Assumptions!$B$11)^(BS5-1)</f>
        <v>-471.42008870442697</v>
      </c>
      <c r="BT31" s="64">
        <f>-Assumptions!$B$43/12*(1+Assumptions!$B$11)^(BT5-1)</f>
        <v>-471.42008870442697</v>
      </c>
      <c r="BU31" s="64">
        <f>-Assumptions!$B$43/12*(1+Assumptions!$B$11)^(BU5-1)</f>
        <v>-471.42008870442697</v>
      </c>
      <c r="BV31" s="64">
        <f>-Assumptions!$B$43/12*(1+Assumptions!$B$11)^(BV5-1)</f>
        <v>-471.42008870442697</v>
      </c>
      <c r="BW31" s="64">
        <f>-Assumptions!$B$43/12*(1+Assumptions!$B$11)^(BW5-1)</f>
        <v>-471.42008870442697</v>
      </c>
      <c r="BX31" s="64">
        <f>-Assumptions!$B$43/12*(1+Assumptions!$B$11)^(BX5-1)</f>
        <v>-483.20559092203757</v>
      </c>
      <c r="BY31" s="64">
        <f>-Assumptions!$B$43/12*(1+Assumptions!$B$11)^(BY5-1)</f>
        <v>-483.20559092203757</v>
      </c>
      <c r="BZ31" s="64">
        <f>-Assumptions!$B$43/12*(1+Assumptions!$B$11)^(BZ5-1)</f>
        <v>-483.20559092203757</v>
      </c>
      <c r="CA31" s="64">
        <f>-Assumptions!$B$43/12*(1+Assumptions!$B$11)^(CA5-1)</f>
        <v>-483.20559092203757</v>
      </c>
      <c r="CB31" s="64">
        <f>-Assumptions!$B$43/12*(1+Assumptions!$B$11)^(CB5-1)</f>
        <v>-483.20559092203757</v>
      </c>
      <c r="CC31" s="64">
        <f>-Assumptions!$B$43/12*(1+Assumptions!$B$11)^(CC5-1)</f>
        <v>-483.20559092203757</v>
      </c>
      <c r="CD31" s="64">
        <f>-Assumptions!$B$43/12*(1+Assumptions!$B$11)^(CD5-1)</f>
        <v>-483.20559092203757</v>
      </c>
      <c r="CE31" s="64">
        <f>-Assumptions!$B$43/12*(1+Assumptions!$B$11)^(CE5-1)</f>
        <v>-483.20559092203757</v>
      </c>
      <c r="CF31" s="64">
        <f>-Assumptions!$B$43/12*(1+Assumptions!$B$11)^(CF5-1)</f>
        <v>-483.20559092203757</v>
      </c>
      <c r="CG31" s="64">
        <f>-Assumptions!$B$43/12*(1+Assumptions!$B$11)^(CG5-1)</f>
        <v>-483.20559092203757</v>
      </c>
      <c r="CH31" s="64">
        <f>-Assumptions!$B$43/12*(1+Assumptions!$B$11)^(CH5-1)</f>
        <v>-483.20559092203757</v>
      </c>
      <c r="CI31" s="64">
        <f>-Assumptions!$B$43/12*(1+Assumptions!$B$11)^(CI5-1)</f>
        <v>-483.20559092203757</v>
      </c>
      <c r="CJ31" s="64">
        <f>-Assumptions!$B$43/12*(1+Assumptions!$B$11)^(CJ5-1)</f>
        <v>-495.28573069508855</v>
      </c>
      <c r="CK31" s="64">
        <f>-Assumptions!$B$43/12*(1+Assumptions!$B$11)^(CK5-1)</f>
        <v>-495.28573069508855</v>
      </c>
      <c r="CL31" s="64">
        <f>-Assumptions!$B$43/12*(1+Assumptions!$B$11)^(CL5-1)</f>
        <v>-495.28573069508855</v>
      </c>
      <c r="CM31" s="64">
        <f>-Assumptions!$B$43/12*(1+Assumptions!$B$11)^(CM5-1)</f>
        <v>-495.28573069508855</v>
      </c>
      <c r="CN31" s="64">
        <f>-Assumptions!$B$43/12*(1+Assumptions!$B$11)^(CN5-1)</f>
        <v>-495.28573069508855</v>
      </c>
      <c r="CO31" s="64">
        <f>-Assumptions!$B$43/12*(1+Assumptions!$B$11)^(CO5-1)</f>
        <v>-495.28573069508855</v>
      </c>
      <c r="CP31" s="64">
        <f>-Assumptions!$B$43/12*(1+Assumptions!$B$11)^(CP5-1)</f>
        <v>-495.28573069508855</v>
      </c>
      <c r="CQ31" s="64">
        <f>-Assumptions!$B$43/12*(1+Assumptions!$B$11)^(CQ5-1)</f>
        <v>-495.28573069508855</v>
      </c>
      <c r="CR31" s="64">
        <f>-Assumptions!$B$43/12*(1+Assumptions!$B$11)^(CR5-1)</f>
        <v>-495.28573069508855</v>
      </c>
      <c r="CS31" s="64">
        <f>-Assumptions!$B$43/12*(1+Assumptions!$B$11)^(CS5-1)</f>
        <v>-495.28573069508855</v>
      </c>
      <c r="CT31" s="64">
        <f>-Assumptions!$B$43/12*(1+Assumptions!$B$11)^(CT5-1)</f>
        <v>-495.28573069508855</v>
      </c>
      <c r="CU31" s="64">
        <f>-Assumptions!$B$43/12*(1+Assumptions!$B$11)^(CU5-1)</f>
        <v>-495.28573069508855</v>
      </c>
      <c r="CV31" s="64">
        <f>-Assumptions!$B$43/12*(1+Assumptions!$B$11)^(CV5-1)</f>
        <v>-507.66787396246571</v>
      </c>
      <c r="CW31" s="64">
        <f>-Assumptions!$B$43/12*(1+Assumptions!$B$11)^(CW5-1)</f>
        <v>-507.66787396246571</v>
      </c>
      <c r="CX31" s="64">
        <f>-Assumptions!$B$43/12*(1+Assumptions!$B$11)^(CX5-1)</f>
        <v>-507.66787396246571</v>
      </c>
      <c r="CY31" s="64">
        <f>-Assumptions!$B$43/12*(1+Assumptions!$B$11)^(CY5-1)</f>
        <v>-507.66787396246571</v>
      </c>
      <c r="CZ31" s="64">
        <f>-Assumptions!$B$43/12*(1+Assumptions!$B$11)^(CZ5-1)</f>
        <v>-507.66787396246571</v>
      </c>
      <c r="DA31" s="64">
        <f>-Assumptions!$B$43/12*(1+Assumptions!$B$11)^(DA5-1)</f>
        <v>-507.66787396246571</v>
      </c>
      <c r="DB31" s="64">
        <f>-Assumptions!$B$43/12*(1+Assumptions!$B$11)^(DB5-1)</f>
        <v>-507.66787396246571</v>
      </c>
      <c r="DC31" s="64">
        <f>-Assumptions!$B$43/12*(1+Assumptions!$B$11)^(DC5-1)</f>
        <v>-507.66787396246571</v>
      </c>
      <c r="DD31" s="64">
        <f>-Assumptions!$B$43/12*(1+Assumptions!$B$11)^(DD5-1)</f>
        <v>-507.66787396246571</v>
      </c>
      <c r="DE31" s="64">
        <f>-Assumptions!$B$43/12*(1+Assumptions!$B$11)^(DE5-1)</f>
        <v>-507.66787396246571</v>
      </c>
      <c r="DF31" s="64">
        <f>-Assumptions!$B$43/12*(1+Assumptions!$B$11)^(DF5-1)</f>
        <v>-507.66787396246571</v>
      </c>
      <c r="DG31" s="64">
        <f>-Assumptions!$B$43/12*(1+Assumptions!$B$11)^(DG5-1)</f>
        <v>-507.66787396246571</v>
      </c>
      <c r="DH31" s="64">
        <f>-Assumptions!$B$43/12*(1+Assumptions!$B$11)^(DH5-1)</f>
        <v>-520.35957081152731</v>
      </c>
      <c r="DI31" s="64">
        <f>-Assumptions!$B$43/12*(1+Assumptions!$B$11)^(DI5-1)</f>
        <v>-520.35957081152731</v>
      </c>
      <c r="DJ31" s="64">
        <f>-Assumptions!$B$43/12*(1+Assumptions!$B$11)^(DJ5-1)</f>
        <v>-520.35957081152731</v>
      </c>
      <c r="DK31" s="64">
        <f>-Assumptions!$B$43/12*(1+Assumptions!$B$11)^(DK5-1)</f>
        <v>-520.35957081152731</v>
      </c>
      <c r="DL31" s="64">
        <f>-Assumptions!$B$43/12*(1+Assumptions!$B$11)^(DL5-1)</f>
        <v>-520.35957081152731</v>
      </c>
      <c r="DM31" s="64">
        <f>-Assumptions!$B$43/12*(1+Assumptions!$B$11)^(DM5-1)</f>
        <v>-520.35957081152731</v>
      </c>
      <c r="DN31" s="64">
        <f>-Assumptions!$B$43/12*(1+Assumptions!$B$11)^(DN5-1)</f>
        <v>-520.35957081152731</v>
      </c>
      <c r="DO31" s="64">
        <f>-Assumptions!$B$43/12*(1+Assumptions!$B$11)^(DO5-1)</f>
        <v>-520.35957081152731</v>
      </c>
      <c r="DP31" s="64">
        <f>-Assumptions!$B$43/12*(1+Assumptions!$B$11)^(DP5-1)</f>
        <v>-520.35957081152731</v>
      </c>
      <c r="DQ31" s="64">
        <f>-Assumptions!$B$43/12*(1+Assumptions!$B$11)^(DQ5-1)</f>
        <v>-520.35957081152731</v>
      </c>
      <c r="DR31" s="64">
        <f>-Assumptions!$B$43/12*(1+Assumptions!$B$11)^(DR5-1)</f>
        <v>-520.35957081152731</v>
      </c>
      <c r="DS31" s="64">
        <f>-Assumptions!$B$43/12*(1+Assumptions!$B$11)^(DS5-1)</f>
        <v>-520.35957081152731</v>
      </c>
    </row>
    <row r="32" spans="1:123" x14ac:dyDescent="0.25">
      <c r="A32" s="1" t="s">
        <v>97</v>
      </c>
      <c r="D32" s="64">
        <f>-Assumptions!$B$44/12*(1+Assumptions!$B$11)^(D5-1)</f>
        <v>-666.66666666666663</v>
      </c>
      <c r="E32" s="64">
        <f>-Assumptions!$B$44/12*(1+Assumptions!$B$11)^(E5-1)</f>
        <v>-666.66666666666663</v>
      </c>
      <c r="F32" s="64">
        <f>-Assumptions!$B$44/12*(1+Assumptions!$B$11)^(F5-1)</f>
        <v>-666.66666666666663</v>
      </c>
      <c r="G32" s="64">
        <f>-Assumptions!$B$44/12*(1+Assumptions!$B$11)^(G5-1)</f>
        <v>-666.66666666666663</v>
      </c>
      <c r="H32" s="64">
        <f>-Assumptions!$B$44/12*(1+Assumptions!$B$11)^(H5-1)</f>
        <v>-666.66666666666663</v>
      </c>
      <c r="I32" s="64">
        <f>-Assumptions!$B$44/12*(1+Assumptions!$B$11)^(I5-1)</f>
        <v>-666.66666666666663</v>
      </c>
      <c r="J32" s="64">
        <f>-Assumptions!$B$44/12*(1+Assumptions!$B$11)^(J5-1)</f>
        <v>-666.66666666666663</v>
      </c>
      <c r="K32" s="64">
        <f>-Assumptions!$B$44/12*(1+Assumptions!$B$11)^(K5-1)</f>
        <v>-666.66666666666663</v>
      </c>
      <c r="L32" s="64">
        <f>-Assumptions!$B$44/12*(1+Assumptions!$B$11)^(L5-1)</f>
        <v>-666.66666666666663</v>
      </c>
      <c r="M32" s="64">
        <f>-Assumptions!$B$44/12*(1+Assumptions!$B$11)^(M5-1)</f>
        <v>-666.66666666666663</v>
      </c>
      <c r="N32" s="64">
        <f>-Assumptions!$B$44/12*(1+Assumptions!$B$11)^(N5-1)</f>
        <v>-666.66666666666663</v>
      </c>
      <c r="O32" s="64">
        <f>-Assumptions!$B$44/12*(1+Assumptions!$B$11)^(O5-1)</f>
        <v>-666.66666666666663</v>
      </c>
      <c r="P32" s="64">
        <f>-Assumptions!$B$44/12*(1+Assumptions!$B$11)^(P5-1)</f>
        <v>-683.33333333333326</v>
      </c>
      <c r="Q32" s="64">
        <f>-Assumptions!$B$44/12*(1+Assumptions!$B$11)^(Q5-1)</f>
        <v>-683.33333333333326</v>
      </c>
      <c r="R32" s="64">
        <f>-Assumptions!$B$44/12*(1+Assumptions!$B$11)^(R5-1)</f>
        <v>-683.33333333333326</v>
      </c>
      <c r="S32" s="64">
        <f>-Assumptions!$B$44/12*(1+Assumptions!$B$11)^(S5-1)</f>
        <v>-683.33333333333326</v>
      </c>
      <c r="T32" s="64">
        <f>-Assumptions!$B$44/12*(1+Assumptions!$B$11)^(T5-1)</f>
        <v>-683.33333333333326</v>
      </c>
      <c r="U32" s="64">
        <f>-Assumptions!$B$44/12*(1+Assumptions!$B$11)^(U5-1)</f>
        <v>-683.33333333333326</v>
      </c>
      <c r="V32" s="64">
        <f>-Assumptions!$B$44/12*(1+Assumptions!$B$11)^(V5-1)</f>
        <v>-683.33333333333326</v>
      </c>
      <c r="W32" s="64">
        <f>-Assumptions!$B$44/12*(1+Assumptions!$B$11)^(W5-1)</f>
        <v>-683.33333333333326</v>
      </c>
      <c r="X32" s="64">
        <f>-Assumptions!$B$44/12*(1+Assumptions!$B$11)^(X5-1)</f>
        <v>-683.33333333333326</v>
      </c>
      <c r="Y32" s="64">
        <f>-Assumptions!$B$44/12*(1+Assumptions!$B$11)^(Y5-1)</f>
        <v>-683.33333333333326</v>
      </c>
      <c r="Z32" s="64">
        <f>-Assumptions!$B$44/12*(1+Assumptions!$B$11)^(Z5-1)</f>
        <v>-683.33333333333326</v>
      </c>
      <c r="AA32" s="64">
        <f>-Assumptions!$B$44/12*(1+Assumptions!$B$11)^(AA5-1)</f>
        <v>-683.33333333333326</v>
      </c>
      <c r="AB32" s="64">
        <f>-Assumptions!$B$44/12*(1+Assumptions!$B$11)^(AB5-1)</f>
        <v>-700.41666666666663</v>
      </c>
      <c r="AC32" s="64">
        <f>-Assumptions!$B$44/12*(1+Assumptions!$B$11)^(AC5-1)</f>
        <v>-700.41666666666663</v>
      </c>
      <c r="AD32" s="64">
        <f>-Assumptions!$B$44/12*(1+Assumptions!$B$11)^(AD5-1)</f>
        <v>-700.41666666666663</v>
      </c>
      <c r="AE32" s="64">
        <f>-Assumptions!$B$44/12*(1+Assumptions!$B$11)^(AE5-1)</f>
        <v>-700.41666666666663</v>
      </c>
      <c r="AF32" s="64">
        <f>-Assumptions!$B$44/12*(1+Assumptions!$B$11)^(AF5-1)</f>
        <v>-700.41666666666663</v>
      </c>
      <c r="AG32" s="64">
        <f>-Assumptions!$B$44/12*(1+Assumptions!$B$11)^(AG5-1)</f>
        <v>-700.41666666666663</v>
      </c>
      <c r="AH32" s="64">
        <f>-Assumptions!$B$44/12*(1+Assumptions!$B$11)^(AH5-1)</f>
        <v>-700.41666666666663</v>
      </c>
      <c r="AI32" s="64">
        <f>-Assumptions!$B$44/12*(1+Assumptions!$B$11)^(AI5-1)</f>
        <v>-700.41666666666663</v>
      </c>
      <c r="AJ32" s="64">
        <f>-Assumptions!$B$44/12*(1+Assumptions!$B$11)^(AJ5-1)</f>
        <v>-700.41666666666663</v>
      </c>
      <c r="AK32" s="64">
        <f>-Assumptions!$B$44/12*(1+Assumptions!$B$11)^(AK5-1)</f>
        <v>-700.41666666666663</v>
      </c>
      <c r="AL32" s="64">
        <f>-Assumptions!$B$44/12*(1+Assumptions!$B$11)^(AL5-1)</f>
        <v>-700.41666666666663</v>
      </c>
      <c r="AM32" s="64">
        <f>-Assumptions!$B$44/12*(1+Assumptions!$B$11)^(AM5-1)</f>
        <v>-700.41666666666663</v>
      </c>
      <c r="AN32" s="64">
        <f>-Assumptions!$B$44/12*(1+Assumptions!$B$11)^(AN5-1)</f>
        <v>-717.92708333333326</v>
      </c>
      <c r="AO32" s="64">
        <f>-Assumptions!$B$44/12*(1+Assumptions!$B$11)^(AO5-1)</f>
        <v>-717.92708333333326</v>
      </c>
      <c r="AP32" s="64">
        <f>-Assumptions!$B$44/12*(1+Assumptions!$B$11)^(AP5-1)</f>
        <v>-717.92708333333326</v>
      </c>
      <c r="AQ32" s="64">
        <f>-Assumptions!$B$44/12*(1+Assumptions!$B$11)^(AQ5-1)</f>
        <v>-717.92708333333326</v>
      </c>
      <c r="AR32" s="64">
        <f>-Assumptions!$B$44/12*(1+Assumptions!$B$11)^(AR5-1)</f>
        <v>-717.92708333333326</v>
      </c>
      <c r="AS32" s="64">
        <f>-Assumptions!$B$44/12*(1+Assumptions!$B$11)^(AS5-1)</f>
        <v>-717.92708333333326</v>
      </c>
      <c r="AT32" s="64">
        <f>-Assumptions!$B$44/12*(1+Assumptions!$B$11)^(AT5-1)</f>
        <v>-717.92708333333326</v>
      </c>
      <c r="AU32" s="64">
        <f>-Assumptions!$B$44/12*(1+Assumptions!$B$11)^(AU5-1)</f>
        <v>-717.92708333333326</v>
      </c>
      <c r="AV32" s="64">
        <f>-Assumptions!$B$44/12*(1+Assumptions!$B$11)^(AV5-1)</f>
        <v>-717.92708333333326</v>
      </c>
      <c r="AW32" s="64">
        <f>-Assumptions!$B$44/12*(1+Assumptions!$B$11)^(AW5-1)</f>
        <v>-717.92708333333326</v>
      </c>
      <c r="AX32" s="64">
        <f>-Assumptions!$B$44/12*(1+Assumptions!$B$11)^(AX5-1)</f>
        <v>-717.92708333333326</v>
      </c>
      <c r="AY32" s="64">
        <f>-Assumptions!$B$44/12*(1+Assumptions!$B$11)^(AY5-1)</f>
        <v>-717.92708333333326</v>
      </c>
      <c r="AZ32" s="64">
        <f>-Assumptions!$B$44/12*(1+Assumptions!$B$11)^(AZ5-1)</f>
        <v>-735.87526041666649</v>
      </c>
      <c r="BA32" s="64">
        <f>-Assumptions!$B$44/12*(1+Assumptions!$B$11)^(BA5-1)</f>
        <v>-735.87526041666649</v>
      </c>
      <c r="BB32" s="64">
        <f>-Assumptions!$B$44/12*(1+Assumptions!$B$11)^(BB5-1)</f>
        <v>-735.87526041666649</v>
      </c>
      <c r="BC32" s="64">
        <f>-Assumptions!$B$44/12*(1+Assumptions!$B$11)^(BC5-1)</f>
        <v>-735.87526041666649</v>
      </c>
      <c r="BD32" s="64">
        <f>-Assumptions!$B$44/12*(1+Assumptions!$B$11)^(BD5-1)</f>
        <v>-735.87526041666649</v>
      </c>
      <c r="BE32" s="64">
        <f>-Assumptions!$B$44/12*(1+Assumptions!$B$11)^(BE5-1)</f>
        <v>-735.87526041666649</v>
      </c>
      <c r="BF32" s="64">
        <f>-Assumptions!$B$44/12*(1+Assumptions!$B$11)^(BF5-1)</f>
        <v>-735.87526041666649</v>
      </c>
      <c r="BG32" s="64">
        <f>-Assumptions!$B$44/12*(1+Assumptions!$B$11)^(BG5-1)</f>
        <v>-735.87526041666649</v>
      </c>
      <c r="BH32" s="64">
        <f>-Assumptions!$B$44/12*(1+Assumptions!$B$11)^(BH5-1)</f>
        <v>-735.87526041666649</v>
      </c>
      <c r="BI32" s="64">
        <f>-Assumptions!$B$44/12*(1+Assumptions!$B$11)^(BI5-1)</f>
        <v>-735.87526041666649</v>
      </c>
      <c r="BJ32" s="64">
        <f>-Assumptions!$B$44/12*(1+Assumptions!$B$11)^(BJ5-1)</f>
        <v>-735.87526041666649</v>
      </c>
      <c r="BK32" s="64">
        <f>-Assumptions!$B$44/12*(1+Assumptions!$B$11)^(BK5-1)</f>
        <v>-735.87526041666649</v>
      </c>
      <c r="BL32" s="64">
        <f>-Assumptions!$B$44/12*(1+Assumptions!$B$11)^(BL5-1)</f>
        <v>-754.27214192708311</v>
      </c>
      <c r="BM32" s="64">
        <f>-Assumptions!$B$44/12*(1+Assumptions!$B$11)^(BM5-1)</f>
        <v>-754.27214192708311</v>
      </c>
      <c r="BN32" s="64">
        <f>-Assumptions!$B$44/12*(1+Assumptions!$B$11)^(BN5-1)</f>
        <v>-754.27214192708311</v>
      </c>
      <c r="BO32" s="64">
        <f>-Assumptions!$B$44/12*(1+Assumptions!$B$11)^(BO5-1)</f>
        <v>-754.27214192708311</v>
      </c>
      <c r="BP32" s="64">
        <f>-Assumptions!$B$44/12*(1+Assumptions!$B$11)^(BP5-1)</f>
        <v>-754.27214192708311</v>
      </c>
      <c r="BQ32" s="64">
        <f>-Assumptions!$B$44/12*(1+Assumptions!$B$11)^(BQ5-1)</f>
        <v>-754.27214192708311</v>
      </c>
      <c r="BR32" s="64">
        <f>-Assumptions!$B$44/12*(1+Assumptions!$B$11)^(BR5-1)</f>
        <v>-754.27214192708311</v>
      </c>
      <c r="BS32" s="64">
        <f>-Assumptions!$B$44/12*(1+Assumptions!$B$11)^(BS5-1)</f>
        <v>-754.27214192708311</v>
      </c>
      <c r="BT32" s="64">
        <f>-Assumptions!$B$44/12*(1+Assumptions!$B$11)^(BT5-1)</f>
        <v>-754.27214192708311</v>
      </c>
      <c r="BU32" s="64">
        <f>-Assumptions!$B$44/12*(1+Assumptions!$B$11)^(BU5-1)</f>
        <v>-754.27214192708311</v>
      </c>
      <c r="BV32" s="64">
        <f>-Assumptions!$B$44/12*(1+Assumptions!$B$11)^(BV5-1)</f>
        <v>-754.27214192708311</v>
      </c>
      <c r="BW32" s="64">
        <f>-Assumptions!$B$44/12*(1+Assumptions!$B$11)^(BW5-1)</f>
        <v>-754.27214192708311</v>
      </c>
      <c r="BX32" s="64">
        <f>-Assumptions!$B$44/12*(1+Assumptions!$B$11)^(BX5-1)</f>
        <v>-773.12894547526002</v>
      </c>
      <c r="BY32" s="64">
        <f>-Assumptions!$B$44/12*(1+Assumptions!$B$11)^(BY5-1)</f>
        <v>-773.12894547526002</v>
      </c>
      <c r="BZ32" s="64">
        <f>-Assumptions!$B$44/12*(1+Assumptions!$B$11)^(BZ5-1)</f>
        <v>-773.12894547526002</v>
      </c>
      <c r="CA32" s="64">
        <f>-Assumptions!$B$44/12*(1+Assumptions!$B$11)^(CA5-1)</f>
        <v>-773.12894547526002</v>
      </c>
      <c r="CB32" s="64">
        <f>-Assumptions!$B$44/12*(1+Assumptions!$B$11)^(CB5-1)</f>
        <v>-773.12894547526002</v>
      </c>
      <c r="CC32" s="64">
        <f>-Assumptions!$B$44/12*(1+Assumptions!$B$11)^(CC5-1)</f>
        <v>-773.12894547526002</v>
      </c>
      <c r="CD32" s="64">
        <f>-Assumptions!$B$44/12*(1+Assumptions!$B$11)^(CD5-1)</f>
        <v>-773.12894547526002</v>
      </c>
      <c r="CE32" s="64">
        <f>-Assumptions!$B$44/12*(1+Assumptions!$B$11)^(CE5-1)</f>
        <v>-773.12894547526002</v>
      </c>
      <c r="CF32" s="64">
        <f>-Assumptions!$B$44/12*(1+Assumptions!$B$11)^(CF5-1)</f>
        <v>-773.12894547526002</v>
      </c>
      <c r="CG32" s="64">
        <f>-Assumptions!$B$44/12*(1+Assumptions!$B$11)^(CG5-1)</f>
        <v>-773.12894547526002</v>
      </c>
      <c r="CH32" s="64">
        <f>-Assumptions!$B$44/12*(1+Assumptions!$B$11)^(CH5-1)</f>
        <v>-773.12894547526002</v>
      </c>
      <c r="CI32" s="64">
        <f>-Assumptions!$B$44/12*(1+Assumptions!$B$11)^(CI5-1)</f>
        <v>-773.12894547526002</v>
      </c>
      <c r="CJ32" s="64">
        <f>-Assumptions!$B$44/12*(1+Assumptions!$B$11)^(CJ5-1)</f>
        <v>-792.45716911214163</v>
      </c>
      <c r="CK32" s="64">
        <f>-Assumptions!$B$44/12*(1+Assumptions!$B$11)^(CK5-1)</f>
        <v>-792.45716911214163</v>
      </c>
      <c r="CL32" s="64">
        <f>-Assumptions!$B$44/12*(1+Assumptions!$B$11)^(CL5-1)</f>
        <v>-792.45716911214163</v>
      </c>
      <c r="CM32" s="64">
        <f>-Assumptions!$B$44/12*(1+Assumptions!$B$11)^(CM5-1)</f>
        <v>-792.45716911214163</v>
      </c>
      <c r="CN32" s="64">
        <f>-Assumptions!$B$44/12*(1+Assumptions!$B$11)^(CN5-1)</f>
        <v>-792.45716911214163</v>
      </c>
      <c r="CO32" s="64">
        <f>-Assumptions!$B$44/12*(1+Assumptions!$B$11)^(CO5-1)</f>
        <v>-792.45716911214163</v>
      </c>
      <c r="CP32" s="64">
        <f>-Assumptions!$B$44/12*(1+Assumptions!$B$11)^(CP5-1)</f>
        <v>-792.45716911214163</v>
      </c>
      <c r="CQ32" s="64">
        <f>-Assumptions!$B$44/12*(1+Assumptions!$B$11)^(CQ5-1)</f>
        <v>-792.45716911214163</v>
      </c>
      <c r="CR32" s="64">
        <f>-Assumptions!$B$44/12*(1+Assumptions!$B$11)^(CR5-1)</f>
        <v>-792.45716911214163</v>
      </c>
      <c r="CS32" s="64">
        <f>-Assumptions!$B$44/12*(1+Assumptions!$B$11)^(CS5-1)</f>
        <v>-792.45716911214163</v>
      </c>
      <c r="CT32" s="64">
        <f>-Assumptions!$B$44/12*(1+Assumptions!$B$11)^(CT5-1)</f>
        <v>-792.45716911214163</v>
      </c>
      <c r="CU32" s="64">
        <f>-Assumptions!$B$44/12*(1+Assumptions!$B$11)^(CU5-1)</f>
        <v>-792.45716911214163</v>
      </c>
      <c r="CV32" s="64">
        <f>-Assumptions!$B$44/12*(1+Assumptions!$B$11)^(CV5-1)</f>
        <v>-812.26859833994513</v>
      </c>
      <c r="CW32" s="64">
        <f>-Assumptions!$B$44/12*(1+Assumptions!$B$11)^(CW5-1)</f>
        <v>-812.26859833994513</v>
      </c>
      <c r="CX32" s="64">
        <f>-Assumptions!$B$44/12*(1+Assumptions!$B$11)^(CX5-1)</f>
        <v>-812.26859833994513</v>
      </c>
      <c r="CY32" s="64">
        <f>-Assumptions!$B$44/12*(1+Assumptions!$B$11)^(CY5-1)</f>
        <v>-812.26859833994513</v>
      </c>
      <c r="CZ32" s="64">
        <f>-Assumptions!$B$44/12*(1+Assumptions!$B$11)^(CZ5-1)</f>
        <v>-812.26859833994513</v>
      </c>
      <c r="DA32" s="64">
        <f>-Assumptions!$B$44/12*(1+Assumptions!$B$11)^(DA5-1)</f>
        <v>-812.26859833994513</v>
      </c>
      <c r="DB32" s="64">
        <f>-Assumptions!$B$44/12*(1+Assumptions!$B$11)^(DB5-1)</f>
        <v>-812.26859833994513</v>
      </c>
      <c r="DC32" s="64">
        <f>-Assumptions!$B$44/12*(1+Assumptions!$B$11)^(DC5-1)</f>
        <v>-812.26859833994513</v>
      </c>
      <c r="DD32" s="64">
        <f>-Assumptions!$B$44/12*(1+Assumptions!$B$11)^(DD5-1)</f>
        <v>-812.26859833994513</v>
      </c>
      <c r="DE32" s="64">
        <f>-Assumptions!$B$44/12*(1+Assumptions!$B$11)^(DE5-1)</f>
        <v>-812.26859833994513</v>
      </c>
      <c r="DF32" s="64">
        <f>-Assumptions!$B$44/12*(1+Assumptions!$B$11)^(DF5-1)</f>
        <v>-812.26859833994513</v>
      </c>
      <c r="DG32" s="64">
        <f>-Assumptions!$B$44/12*(1+Assumptions!$B$11)^(DG5-1)</f>
        <v>-812.26859833994513</v>
      </c>
      <c r="DH32" s="64">
        <f>-Assumptions!$B$44/12*(1+Assumptions!$B$11)^(DH5-1)</f>
        <v>-832.57531329844358</v>
      </c>
      <c r="DI32" s="64">
        <f>-Assumptions!$B$44/12*(1+Assumptions!$B$11)^(DI5-1)</f>
        <v>-832.57531329844358</v>
      </c>
      <c r="DJ32" s="64">
        <f>-Assumptions!$B$44/12*(1+Assumptions!$B$11)^(DJ5-1)</f>
        <v>-832.57531329844358</v>
      </c>
      <c r="DK32" s="64">
        <f>-Assumptions!$B$44/12*(1+Assumptions!$B$11)^(DK5-1)</f>
        <v>-832.57531329844358</v>
      </c>
      <c r="DL32" s="64">
        <f>-Assumptions!$B$44/12*(1+Assumptions!$B$11)^(DL5-1)</f>
        <v>-832.57531329844358</v>
      </c>
      <c r="DM32" s="64">
        <f>-Assumptions!$B$44/12*(1+Assumptions!$B$11)^(DM5-1)</f>
        <v>-832.57531329844358</v>
      </c>
      <c r="DN32" s="64">
        <f>-Assumptions!$B$44/12*(1+Assumptions!$B$11)^(DN5-1)</f>
        <v>-832.57531329844358</v>
      </c>
      <c r="DO32" s="64">
        <f>-Assumptions!$B$44/12*(1+Assumptions!$B$11)^(DO5-1)</f>
        <v>-832.57531329844358</v>
      </c>
      <c r="DP32" s="64">
        <f>-Assumptions!$B$44/12*(1+Assumptions!$B$11)^(DP5-1)</f>
        <v>-832.57531329844358</v>
      </c>
      <c r="DQ32" s="64">
        <f>-Assumptions!$B$44/12*(1+Assumptions!$B$11)^(DQ5-1)</f>
        <v>-832.57531329844358</v>
      </c>
      <c r="DR32" s="64">
        <f>-Assumptions!$B$44/12*(1+Assumptions!$B$11)^(DR5-1)</f>
        <v>-832.57531329844358</v>
      </c>
      <c r="DS32" s="64">
        <f>-Assumptions!$B$44/12*(1+Assumptions!$B$11)^(DS5-1)</f>
        <v>-832.57531329844358</v>
      </c>
    </row>
    <row r="33" spans="1:123" x14ac:dyDescent="0.25">
      <c r="A33" s="1" t="s">
        <v>98</v>
      </c>
      <c r="D33" s="64">
        <f>-Assumptions!$B$45/12*(1+Assumptions!$B$11)^(D5-1)</f>
        <v>-1000</v>
      </c>
      <c r="E33" s="64">
        <f>-Assumptions!$B$45/12*(1+Assumptions!$B$11)^(E5-1)</f>
        <v>-1000</v>
      </c>
      <c r="F33" s="64">
        <f>-Assumptions!$B$45/12*(1+Assumptions!$B$11)^(F5-1)</f>
        <v>-1000</v>
      </c>
      <c r="G33" s="64">
        <f>-Assumptions!$B$45/12*(1+Assumptions!$B$11)^(G5-1)</f>
        <v>-1000</v>
      </c>
      <c r="H33" s="64">
        <f>-Assumptions!$B$45/12*(1+Assumptions!$B$11)^(H5-1)</f>
        <v>-1000</v>
      </c>
      <c r="I33" s="64">
        <f>-Assumptions!$B$45/12*(1+Assumptions!$B$11)^(I5-1)</f>
        <v>-1000</v>
      </c>
      <c r="J33" s="64">
        <f>-Assumptions!$B$45/12*(1+Assumptions!$B$11)^(J5-1)</f>
        <v>-1000</v>
      </c>
      <c r="K33" s="64">
        <f>-Assumptions!$B$45/12*(1+Assumptions!$B$11)^(K5-1)</f>
        <v>-1000</v>
      </c>
      <c r="L33" s="64">
        <f>-Assumptions!$B$45/12*(1+Assumptions!$B$11)^(L5-1)</f>
        <v>-1000</v>
      </c>
      <c r="M33" s="64">
        <f>-Assumptions!$B$45/12*(1+Assumptions!$B$11)^(M5-1)</f>
        <v>-1000</v>
      </c>
      <c r="N33" s="64">
        <f>-Assumptions!$B$45/12*(1+Assumptions!$B$11)^(N5-1)</f>
        <v>-1000</v>
      </c>
      <c r="O33" s="64">
        <f>-Assumptions!$B$45/12*(1+Assumptions!$B$11)^(O5-1)</f>
        <v>-1000</v>
      </c>
      <c r="P33" s="64">
        <f>-Assumptions!$B$45/12*(1+Assumptions!$B$11)^(P5-1)</f>
        <v>-1025</v>
      </c>
      <c r="Q33" s="64">
        <f>-Assumptions!$B$45/12*(1+Assumptions!$B$11)^(Q5-1)</f>
        <v>-1025</v>
      </c>
      <c r="R33" s="64">
        <f>-Assumptions!$B$45/12*(1+Assumptions!$B$11)^(R5-1)</f>
        <v>-1025</v>
      </c>
      <c r="S33" s="64">
        <f>-Assumptions!$B$45/12*(1+Assumptions!$B$11)^(S5-1)</f>
        <v>-1025</v>
      </c>
      <c r="T33" s="64">
        <f>-Assumptions!$B$45/12*(1+Assumptions!$B$11)^(T5-1)</f>
        <v>-1025</v>
      </c>
      <c r="U33" s="64">
        <f>-Assumptions!$B$45/12*(1+Assumptions!$B$11)^(U5-1)</f>
        <v>-1025</v>
      </c>
      <c r="V33" s="64">
        <f>-Assumptions!$B$45/12*(1+Assumptions!$B$11)^(V5-1)</f>
        <v>-1025</v>
      </c>
      <c r="W33" s="64">
        <f>-Assumptions!$B$45/12*(1+Assumptions!$B$11)^(W5-1)</f>
        <v>-1025</v>
      </c>
      <c r="X33" s="64">
        <f>-Assumptions!$B$45/12*(1+Assumptions!$B$11)^(X5-1)</f>
        <v>-1025</v>
      </c>
      <c r="Y33" s="64">
        <f>-Assumptions!$B$45/12*(1+Assumptions!$B$11)^(Y5-1)</f>
        <v>-1025</v>
      </c>
      <c r="Z33" s="64">
        <f>-Assumptions!$B$45/12*(1+Assumptions!$B$11)^(Z5-1)</f>
        <v>-1025</v>
      </c>
      <c r="AA33" s="64">
        <f>-Assumptions!$B$45/12*(1+Assumptions!$B$11)^(AA5-1)</f>
        <v>-1025</v>
      </c>
      <c r="AB33" s="64">
        <f>-Assumptions!$B$45/12*(1+Assumptions!$B$11)^(AB5-1)</f>
        <v>-1050.625</v>
      </c>
      <c r="AC33" s="64">
        <f>-Assumptions!$B$45/12*(1+Assumptions!$B$11)^(AC5-1)</f>
        <v>-1050.625</v>
      </c>
      <c r="AD33" s="64">
        <f>-Assumptions!$B$45/12*(1+Assumptions!$B$11)^(AD5-1)</f>
        <v>-1050.625</v>
      </c>
      <c r="AE33" s="64">
        <f>-Assumptions!$B$45/12*(1+Assumptions!$B$11)^(AE5-1)</f>
        <v>-1050.625</v>
      </c>
      <c r="AF33" s="64">
        <f>-Assumptions!$B$45/12*(1+Assumptions!$B$11)^(AF5-1)</f>
        <v>-1050.625</v>
      </c>
      <c r="AG33" s="64">
        <f>-Assumptions!$B$45/12*(1+Assumptions!$B$11)^(AG5-1)</f>
        <v>-1050.625</v>
      </c>
      <c r="AH33" s="64">
        <f>-Assumptions!$B$45/12*(1+Assumptions!$B$11)^(AH5-1)</f>
        <v>-1050.625</v>
      </c>
      <c r="AI33" s="64">
        <f>-Assumptions!$B$45/12*(1+Assumptions!$B$11)^(AI5-1)</f>
        <v>-1050.625</v>
      </c>
      <c r="AJ33" s="64">
        <f>-Assumptions!$B$45/12*(1+Assumptions!$B$11)^(AJ5-1)</f>
        <v>-1050.625</v>
      </c>
      <c r="AK33" s="64">
        <f>-Assumptions!$B$45/12*(1+Assumptions!$B$11)^(AK5-1)</f>
        <v>-1050.625</v>
      </c>
      <c r="AL33" s="64">
        <f>-Assumptions!$B$45/12*(1+Assumptions!$B$11)^(AL5-1)</f>
        <v>-1050.625</v>
      </c>
      <c r="AM33" s="64">
        <f>-Assumptions!$B$45/12*(1+Assumptions!$B$11)^(AM5-1)</f>
        <v>-1050.625</v>
      </c>
      <c r="AN33" s="64">
        <f>-Assumptions!$B$45/12*(1+Assumptions!$B$11)^(AN5-1)</f>
        <v>-1076.8906249999998</v>
      </c>
      <c r="AO33" s="64">
        <f>-Assumptions!$B$45/12*(1+Assumptions!$B$11)^(AO5-1)</f>
        <v>-1076.8906249999998</v>
      </c>
      <c r="AP33" s="64">
        <f>-Assumptions!$B$45/12*(1+Assumptions!$B$11)^(AP5-1)</f>
        <v>-1076.8906249999998</v>
      </c>
      <c r="AQ33" s="64">
        <f>-Assumptions!$B$45/12*(1+Assumptions!$B$11)^(AQ5-1)</f>
        <v>-1076.8906249999998</v>
      </c>
      <c r="AR33" s="64">
        <f>-Assumptions!$B$45/12*(1+Assumptions!$B$11)^(AR5-1)</f>
        <v>-1076.8906249999998</v>
      </c>
      <c r="AS33" s="64">
        <f>-Assumptions!$B$45/12*(1+Assumptions!$B$11)^(AS5-1)</f>
        <v>-1076.8906249999998</v>
      </c>
      <c r="AT33" s="64">
        <f>-Assumptions!$B$45/12*(1+Assumptions!$B$11)^(AT5-1)</f>
        <v>-1076.8906249999998</v>
      </c>
      <c r="AU33" s="64">
        <f>-Assumptions!$B$45/12*(1+Assumptions!$B$11)^(AU5-1)</f>
        <v>-1076.8906249999998</v>
      </c>
      <c r="AV33" s="64">
        <f>-Assumptions!$B$45/12*(1+Assumptions!$B$11)^(AV5-1)</f>
        <v>-1076.8906249999998</v>
      </c>
      <c r="AW33" s="64">
        <f>-Assumptions!$B$45/12*(1+Assumptions!$B$11)^(AW5-1)</f>
        <v>-1076.8906249999998</v>
      </c>
      <c r="AX33" s="64">
        <f>-Assumptions!$B$45/12*(1+Assumptions!$B$11)^(AX5-1)</f>
        <v>-1076.8906249999998</v>
      </c>
      <c r="AY33" s="64">
        <f>-Assumptions!$B$45/12*(1+Assumptions!$B$11)^(AY5-1)</f>
        <v>-1076.8906249999998</v>
      </c>
      <c r="AZ33" s="64">
        <f>-Assumptions!$B$45/12*(1+Assumptions!$B$11)^(AZ5-1)</f>
        <v>-1103.8128906249997</v>
      </c>
      <c r="BA33" s="64">
        <f>-Assumptions!$B$45/12*(1+Assumptions!$B$11)^(BA5-1)</f>
        <v>-1103.8128906249997</v>
      </c>
      <c r="BB33" s="64">
        <f>-Assumptions!$B$45/12*(1+Assumptions!$B$11)^(BB5-1)</f>
        <v>-1103.8128906249997</v>
      </c>
      <c r="BC33" s="64">
        <f>-Assumptions!$B$45/12*(1+Assumptions!$B$11)^(BC5-1)</f>
        <v>-1103.8128906249997</v>
      </c>
      <c r="BD33" s="64">
        <f>-Assumptions!$B$45/12*(1+Assumptions!$B$11)^(BD5-1)</f>
        <v>-1103.8128906249997</v>
      </c>
      <c r="BE33" s="64">
        <f>-Assumptions!$B$45/12*(1+Assumptions!$B$11)^(BE5-1)</f>
        <v>-1103.8128906249997</v>
      </c>
      <c r="BF33" s="64">
        <f>-Assumptions!$B$45/12*(1+Assumptions!$B$11)^(BF5-1)</f>
        <v>-1103.8128906249997</v>
      </c>
      <c r="BG33" s="64">
        <f>-Assumptions!$B$45/12*(1+Assumptions!$B$11)^(BG5-1)</f>
        <v>-1103.8128906249997</v>
      </c>
      <c r="BH33" s="64">
        <f>-Assumptions!$B$45/12*(1+Assumptions!$B$11)^(BH5-1)</f>
        <v>-1103.8128906249997</v>
      </c>
      <c r="BI33" s="64">
        <f>-Assumptions!$B$45/12*(1+Assumptions!$B$11)^(BI5-1)</f>
        <v>-1103.8128906249997</v>
      </c>
      <c r="BJ33" s="64">
        <f>-Assumptions!$B$45/12*(1+Assumptions!$B$11)^(BJ5-1)</f>
        <v>-1103.8128906249997</v>
      </c>
      <c r="BK33" s="64">
        <f>-Assumptions!$B$45/12*(1+Assumptions!$B$11)^(BK5-1)</f>
        <v>-1103.8128906249997</v>
      </c>
      <c r="BL33" s="64">
        <f>-Assumptions!$B$45/12*(1+Assumptions!$B$11)^(BL5-1)</f>
        <v>-1131.4082128906246</v>
      </c>
      <c r="BM33" s="64">
        <f>-Assumptions!$B$45/12*(1+Assumptions!$B$11)^(BM5-1)</f>
        <v>-1131.4082128906246</v>
      </c>
      <c r="BN33" s="64">
        <f>-Assumptions!$B$45/12*(1+Assumptions!$B$11)^(BN5-1)</f>
        <v>-1131.4082128906246</v>
      </c>
      <c r="BO33" s="64">
        <f>-Assumptions!$B$45/12*(1+Assumptions!$B$11)^(BO5-1)</f>
        <v>-1131.4082128906246</v>
      </c>
      <c r="BP33" s="64">
        <f>-Assumptions!$B$45/12*(1+Assumptions!$B$11)^(BP5-1)</f>
        <v>-1131.4082128906246</v>
      </c>
      <c r="BQ33" s="64">
        <f>-Assumptions!$B$45/12*(1+Assumptions!$B$11)^(BQ5-1)</f>
        <v>-1131.4082128906246</v>
      </c>
      <c r="BR33" s="64">
        <f>-Assumptions!$B$45/12*(1+Assumptions!$B$11)^(BR5-1)</f>
        <v>-1131.4082128906246</v>
      </c>
      <c r="BS33" s="64">
        <f>-Assumptions!$B$45/12*(1+Assumptions!$B$11)^(BS5-1)</f>
        <v>-1131.4082128906246</v>
      </c>
      <c r="BT33" s="64">
        <f>-Assumptions!$B$45/12*(1+Assumptions!$B$11)^(BT5-1)</f>
        <v>-1131.4082128906246</v>
      </c>
      <c r="BU33" s="64">
        <f>-Assumptions!$B$45/12*(1+Assumptions!$B$11)^(BU5-1)</f>
        <v>-1131.4082128906246</v>
      </c>
      <c r="BV33" s="64">
        <f>-Assumptions!$B$45/12*(1+Assumptions!$B$11)^(BV5-1)</f>
        <v>-1131.4082128906246</v>
      </c>
      <c r="BW33" s="64">
        <f>-Assumptions!$B$45/12*(1+Assumptions!$B$11)^(BW5-1)</f>
        <v>-1131.4082128906246</v>
      </c>
      <c r="BX33" s="64">
        <f>-Assumptions!$B$45/12*(1+Assumptions!$B$11)^(BX5-1)</f>
        <v>-1159.6934182128903</v>
      </c>
      <c r="BY33" s="64">
        <f>-Assumptions!$B$45/12*(1+Assumptions!$B$11)^(BY5-1)</f>
        <v>-1159.6934182128903</v>
      </c>
      <c r="BZ33" s="64">
        <f>-Assumptions!$B$45/12*(1+Assumptions!$B$11)^(BZ5-1)</f>
        <v>-1159.6934182128903</v>
      </c>
      <c r="CA33" s="64">
        <f>-Assumptions!$B$45/12*(1+Assumptions!$B$11)^(CA5-1)</f>
        <v>-1159.6934182128903</v>
      </c>
      <c r="CB33" s="64">
        <f>-Assumptions!$B$45/12*(1+Assumptions!$B$11)^(CB5-1)</f>
        <v>-1159.6934182128903</v>
      </c>
      <c r="CC33" s="64">
        <f>-Assumptions!$B$45/12*(1+Assumptions!$B$11)^(CC5-1)</f>
        <v>-1159.6934182128903</v>
      </c>
      <c r="CD33" s="64">
        <f>-Assumptions!$B$45/12*(1+Assumptions!$B$11)^(CD5-1)</f>
        <v>-1159.6934182128903</v>
      </c>
      <c r="CE33" s="64">
        <f>-Assumptions!$B$45/12*(1+Assumptions!$B$11)^(CE5-1)</f>
        <v>-1159.6934182128903</v>
      </c>
      <c r="CF33" s="64">
        <f>-Assumptions!$B$45/12*(1+Assumptions!$B$11)^(CF5-1)</f>
        <v>-1159.6934182128903</v>
      </c>
      <c r="CG33" s="64">
        <f>-Assumptions!$B$45/12*(1+Assumptions!$B$11)^(CG5-1)</f>
        <v>-1159.6934182128903</v>
      </c>
      <c r="CH33" s="64">
        <f>-Assumptions!$B$45/12*(1+Assumptions!$B$11)^(CH5-1)</f>
        <v>-1159.6934182128903</v>
      </c>
      <c r="CI33" s="64">
        <f>-Assumptions!$B$45/12*(1+Assumptions!$B$11)^(CI5-1)</f>
        <v>-1159.6934182128903</v>
      </c>
      <c r="CJ33" s="64">
        <f>-Assumptions!$B$45/12*(1+Assumptions!$B$11)^(CJ5-1)</f>
        <v>-1188.6857536682126</v>
      </c>
      <c r="CK33" s="64">
        <f>-Assumptions!$B$45/12*(1+Assumptions!$B$11)^(CK5-1)</f>
        <v>-1188.6857536682126</v>
      </c>
      <c r="CL33" s="64">
        <f>-Assumptions!$B$45/12*(1+Assumptions!$B$11)^(CL5-1)</f>
        <v>-1188.6857536682126</v>
      </c>
      <c r="CM33" s="64">
        <f>-Assumptions!$B$45/12*(1+Assumptions!$B$11)^(CM5-1)</f>
        <v>-1188.6857536682126</v>
      </c>
      <c r="CN33" s="64">
        <f>-Assumptions!$B$45/12*(1+Assumptions!$B$11)^(CN5-1)</f>
        <v>-1188.6857536682126</v>
      </c>
      <c r="CO33" s="64">
        <f>-Assumptions!$B$45/12*(1+Assumptions!$B$11)^(CO5-1)</f>
        <v>-1188.6857536682126</v>
      </c>
      <c r="CP33" s="64">
        <f>-Assumptions!$B$45/12*(1+Assumptions!$B$11)^(CP5-1)</f>
        <v>-1188.6857536682126</v>
      </c>
      <c r="CQ33" s="64">
        <f>-Assumptions!$B$45/12*(1+Assumptions!$B$11)^(CQ5-1)</f>
        <v>-1188.6857536682126</v>
      </c>
      <c r="CR33" s="64">
        <f>-Assumptions!$B$45/12*(1+Assumptions!$B$11)^(CR5-1)</f>
        <v>-1188.6857536682126</v>
      </c>
      <c r="CS33" s="64">
        <f>-Assumptions!$B$45/12*(1+Assumptions!$B$11)^(CS5-1)</f>
        <v>-1188.6857536682126</v>
      </c>
      <c r="CT33" s="64">
        <f>-Assumptions!$B$45/12*(1+Assumptions!$B$11)^(CT5-1)</f>
        <v>-1188.6857536682126</v>
      </c>
      <c r="CU33" s="64">
        <f>-Assumptions!$B$45/12*(1+Assumptions!$B$11)^(CU5-1)</f>
        <v>-1188.6857536682126</v>
      </c>
      <c r="CV33" s="64">
        <f>-Assumptions!$B$45/12*(1+Assumptions!$B$11)^(CV5-1)</f>
        <v>-1218.4028975099177</v>
      </c>
      <c r="CW33" s="64">
        <f>-Assumptions!$B$45/12*(1+Assumptions!$B$11)^(CW5-1)</f>
        <v>-1218.4028975099177</v>
      </c>
      <c r="CX33" s="64">
        <f>-Assumptions!$B$45/12*(1+Assumptions!$B$11)^(CX5-1)</f>
        <v>-1218.4028975099177</v>
      </c>
      <c r="CY33" s="64">
        <f>-Assumptions!$B$45/12*(1+Assumptions!$B$11)^(CY5-1)</f>
        <v>-1218.4028975099177</v>
      </c>
      <c r="CZ33" s="64">
        <f>-Assumptions!$B$45/12*(1+Assumptions!$B$11)^(CZ5-1)</f>
        <v>-1218.4028975099177</v>
      </c>
      <c r="DA33" s="64">
        <f>-Assumptions!$B$45/12*(1+Assumptions!$B$11)^(DA5-1)</f>
        <v>-1218.4028975099177</v>
      </c>
      <c r="DB33" s="64">
        <f>-Assumptions!$B$45/12*(1+Assumptions!$B$11)^(DB5-1)</f>
        <v>-1218.4028975099177</v>
      </c>
      <c r="DC33" s="64">
        <f>-Assumptions!$B$45/12*(1+Assumptions!$B$11)^(DC5-1)</f>
        <v>-1218.4028975099177</v>
      </c>
      <c r="DD33" s="64">
        <f>-Assumptions!$B$45/12*(1+Assumptions!$B$11)^(DD5-1)</f>
        <v>-1218.4028975099177</v>
      </c>
      <c r="DE33" s="64">
        <f>-Assumptions!$B$45/12*(1+Assumptions!$B$11)^(DE5-1)</f>
        <v>-1218.4028975099177</v>
      </c>
      <c r="DF33" s="64">
        <f>-Assumptions!$B$45/12*(1+Assumptions!$B$11)^(DF5-1)</f>
        <v>-1218.4028975099177</v>
      </c>
      <c r="DG33" s="64">
        <f>-Assumptions!$B$45/12*(1+Assumptions!$B$11)^(DG5-1)</f>
        <v>-1218.4028975099177</v>
      </c>
      <c r="DH33" s="64">
        <f>-Assumptions!$B$45/12*(1+Assumptions!$B$11)^(DH5-1)</f>
        <v>-1248.8629699476655</v>
      </c>
      <c r="DI33" s="64">
        <f>-Assumptions!$B$45/12*(1+Assumptions!$B$11)^(DI5-1)</f>
        <v>-1248.8629699476655</v>
      </c>
      <c r="DJ33" s="64">
        <f>-Assumptions!$B$45/12*(1+Assumptions!$B$11)^(DJ5-1)</f>
        <v>-1248.8629699476655</v>
      </c>
      <c r="DK33" s="64">
        <f>-Assumptions!$B$45/12*(1+Assumptions!$B$11)^(DK5-1)</f>
        <v>-1248.8629699476655</v>
      </c>
      <c r="DL33" s="64">
        <f>-Assumptions!$B$45/12*(1+Assumptions!$B$11)^(DL5-1)</f>
        <v>-1248.8629699476655</v>
      </c>
      <c r="DM33" s="64">
        <f>-Assumptions!$B$45/12*(1+Assumptions!$B$11)^(DM5-1)</f>
        <v>-1248.8629699476655</v>
      </c>
      <c r="DN33" s="64">
        <f>-Assumptions!$B$45/12*(1+Assumptions!$B$11)^(DN5-1)</f>
        <v>-1248.8629699476655</v>
      </c>
      <c r="DO33" s="64">
        <f>-Assumptions!$B$45/12*(1+Assumptions!$B$11)^(DO5-1)</f>
        <v>-1248.8629699476655</v>
      </c>
      <c r="DP33" s="64">
        <f>-Assumptions!$B$45/12*(1+Assumptions!$B$11)^(DP5-1)</f>
        <v>-1248.8629699476655</v>
      </c>
      <c r="DQ33" s="64">
        <f>-Assumptions!$B$45/12*(1+Assumptions!$B$11)^(DQ5-1)</f>
        <v>-1248.8629699476655</v>
      </c>
      <c r="DR33" s="64">
        <f>-Assumptions!$B$45/12*(1+Assumptions!$B$11)^(DR5-1)</f>
        <v>-1248.8629699476655</v>
      </c>
      <c r="DS33" s="64">
        <f>-Assumptions!$B$45/12*(1+Assumptions!$B$11)^(DS5-1)</f>
        <v>-1248.8629699476655</v>
      </c>
    </row>
    <row r="34" spans="1:123" x14ac:dyDescent="0.25">
      <c r="A34" s="1" t="s">
        <v>99</v>
      </c>
      <c r="D34" s="64">
        <f>-Assumptions!$B$46/12*(1+Assumptions!$B$11)^(D5-1)</f>
        <v>-500</v>
      </c>
      <c r="E34" s="64">
        <f>-Assumptions!$B$46/12*(1+Assumptions!$B$11)^(E5-1)</f>
        <v>-500</v>
      </c>
      <c r="F34" s="64">
        <f>-Assumptions!$B$46/12*(1+Assumptions!$B$11)^(F5-1)</f>
        <v>-500</v>
      </c>
      <c r="G34" s="64">
        <f>-Assumptions!$B$46/12*(1+Assumptions!$B$11)^(G5-1)</f>
        <v>-500</v>
      </c>
      <c r="H34" s="64">
        <f>-Assumptions!$B$46/12*(1+Assumptions!$B$11)^(H5-1)</f>
        <v>-500</v>
      </c>
      <c r="I34" s="64">
        <f>-Assumptions!$B$46/12*(1+Assumptions!$B$11)^(I5-1)</f>
        <v>-500</v>
      </c>
      <c r="J34" s="64">
        <f>-Assumptions!$B$46/12*(1+Assumptions!$B$11)^(J5-1)</f>
        <v>-500</v>
      </c>
      <c r="K34" s="64">
        <f>-Assumptions!$B$46/12*(1+Assumptions!$B$11)^(K5-1)</f>
        <v>-500</v>
      </c>
      <c r="L34" s="64">
        <f>-Assumptions!$B$46/12*(1+Assumptions!$B$11)^(L5-1)</f>
        <v>-500</v>
      </c>
      <c r="M34" s="64">
        <f>-Assumptions!$B$46/12*(1+Assumptions!$B$11)^(M5-1)</f>
        <v>-500</v>
      </c>
      <c r="N34" s="64">
        <f>-Assumptions!$B$46/12*(1+Assumptions!$B$11)^(N5-1)</f>
        <v>-500</v>
      </c>
      <c r="O34" s="64">
        <f>-Assumptions!$B$46/12*(1+Assumptions!$B$11)^(O5-1)</f>
        <v>-500</v>
      </c>
      <c r="P34" s="64">
        <f>-Assumptions!$B$46/12*(1+Assumptions!$B$11)^(P5-1)</f>
        <v>-512.5</v>
      </c>
      <c r="Q34" s="64">
        <f>-Assumptions!$B$46/12*(1+Assumptions!$B$11)^(Q5-1)</f>
        <v>-512.5</v>
      </c>
      <c r="R34" s="64">
        <f>-Assumptions!$B$46/12*(1+Assumptions!$B$11)^(R5-1)</f>
        <v>-512.5</v>
      </c>
      <c r="S34" s="64">
        <f>-Assumptions!$B$46/12*(1+Assumptions!$B$11)^(S5-1)</f>
        <v>-512.5</v>
      </c>
      <c r="T34" s="64">
        <f>-Assumptions!$B$46/12*(1+Assumptions!$B$11)^(T5-1)</f>
        <v>-512.5</v>
      </c>
      <c r="U34" s="64">
        <f>-Assumptions!$B$46/12*(1+Assumptions!$B$11)^(U5-1)</f>
        <v>-512.5</v>
      </c>
      <c r="V34" s="64">
        <f>-Assumptions!$B$46/12*(1+Assumptions!$B$11)^(V5-1)</f>
        <v>-512.5</v>
      </c>
      <c r="W34" s="64">
        <f>-Assumptions!$B$46/12*(1+Assumptions!$B$11)^(W5-1)</f>
        <v>-512.5</v>
      </c>
      <c r="X34" s="64">
        <f>-Assumptions!$B$46/12*(1+Assumptions!$B$11)^(X5-1)</f>
        <v>-512.5</v>
      </c>
      <c r="Y34" s="64">
        <f>-Assumptions!$B$46/12*(1+Assumptions!$B$11)^(Y5-1)</f>
        <v>-512.5</v>
      </c>
      <c r="Z34" s="64">
        <f>-Assumptions!$B$46/12*(1+Assumptions!$B$11)^(Z5-1)</f>
        <v>-512.5</v>
      </c>
      <c r="AA34" s="64">
        <f>-Assumptions!$B$46/12*(1+Assumptions!$B$11)^(AA5-1)</f>
        <v>-512.5</v>
      </c>
      <c r="AB34" s="64">
        <f>-Assumptions!$B$46/12*(1+Assumptions!$B$11)^(AB5-1)</f>
        <v>-525.3125</v>
      </c>
      <c r="AC34" s="64">
        <f>-Assumptions!$B$46/12*(1+Assumptions!$B$11)^(AC5-1)</f>
        <v>-525.3125</v>
      </c>
      <c r="AD34" s="64">
        <f>-Assumptions!$B$46/12*(1+Assumptions!$B$11)^(AD5-1)</f>
        <v>-525.3125</v>
      </c>
      <c r="AE34" s="64">
        <f>-Assumptions!$B$46/12*(1+Assumptions!$B$11)^(AE5-1)</f>
        <v>-525.3125</v>
      </c>
      <c r="AF34" s="64">
        <f>-Assumptions!$B$46/12*(1+Assumptions!$B$11)^(AF5-1)</f>
        <v>-525.3125</v>
      </c>
      <c r="AG34" s="64">
        <f>-Assumptions!$B$46/12*(1+Assumptions!$B$11)^(AG5-1)</f>
        <v>-525.3125</v>
      </c>
      <c r="AH34" s="64">
        <f>-Assumptions!$B$46/12*(1+Assumptions!$B$11)^(AH5-1)</f>
        <v>-525.3125</v>
      </c>
      <c r="AI34" s="64">
        <f>-Assumptions!$B$46/12*(1+Assumptions!$B$11)^(AI5-1)</f>
        <v>-525.3125</v>
      </c>
      <c r="AJ34" s="64">
        <f>-Assumptions!$B$46/12*(1+Assumptions!$B$11)^(AJ5-1)</f>
        <v>-525.3125</v>
      </c>
      <c r="AK34" s="64">
        <f>-Assumptions!$B$46/12*(1+Assumptions!$B$11)^(AK5-1)</f>
        <v>-525.3125</v>
      </c>
      <c r="AL34" s="64">
        <f>-Assumptions!$B$46/12*(1+Assumptions!$B$11)^(AL5-1)</f>
        <v>-525.3125</v>
      </c>
      <c r="AM34" s="64">
        <f>-Assumptions!$B$46/12*(1+Assumptions!$B$11)^(AM5-1)</f>
        <v>-525.3125</v>
      </c>
      <c r="AN34" s="64">
        <f>-Assumptions!$B$46/12*(1+Assumptions!$B$11)^(AN5-1)</f>
        <v>-538.44531249999989</v>
      </c>
      <c r="AO34" s="64">
        <f>-Assumptions!$B$46/12*(1+Assumptions!$B$11)^(AO5-1)</f>
        <v>-538.44531249999989</v>
      </c>
      <c r="AP34" s="64">
        <f>-Assumptions!$B$46/12*(1+Assumptions!$B$11)^(AP5-1)</f>
        <v>-538.44531249999989</v>
      </c>
      <c r="AQ34" s="64">
        <f>-Assumptions!$B$46/12*(1+Assumptions!$B$11)^(AQ5-1)</f>
        <v>-538.44531249999989</v>
      </c>
      <c r="AR34" s="64">
        <f>-Assumptions!$B$46/12*(1+Assumptions!$B$11)^(AR5-1)</f>
        <v>-538.44531249999989</v>
      </c>
      <c r="AS34" s="64">
        <f>-Assumptions!$B$46/12*(1+Assumptions!$B$11)^(AS5-1)</f>
        <v>-538.44531249999989</v>
      </c>
      <c r="AT34" s="64">
        <f>-Assumptions!$B$46/12*(1+Assumptions!$B$11)^(AT5-1)</f>
        <v>-538.44531249999989</v>
      </c>
      <c r="AU34" s="64">
        <f>-Assumptions!$B$46/12*(1+Assumptions!$B$11)^(AU5-1)</f>
        <v>-538.44531249999989</v>
      </c>
      <c r="AV34" s="64">
        <f>-Assumptions!$B$46/12*(1+Assumptions!$B$11)^(AV5-1)</f>
        <v>-538.44531249999989</v>
      </c>
      <c r="AW34" s="64">
        <f>-Assumptions!$B$46/12*(1+Assumptions!$B$11)^(AW5-1)</f>
        <v>-538.44531249999989</v>
      </c>
      <c r="AX34" s="64">
        <f>-Assumptions!$B$46/12*(1+Assumptions!$B$11)^(AX5-1)</f>
        <v>-538.44531249999989</v>
      </c>
      <c r="AY34" s="64">
        <f>-Assumptions!$B$46/12*(1+Assumptions!$B$11)^(AY5-1)</f>
        <v>-538.44531249999989</v>
      </c>
      <c r="AZ34" s="64">
        <f>-Assumptions!$B$46/12*(1+Assumptions!$B$11)^(AZ5-1)</f>
        <v>-551.90644531249984</v>
      </c>
      <c r="BA34" s="64">
        <f>-Assumptions!$B$46/12*(1+Assumptions!$B$11)^(BA5-1)</f>
        <v>-551.90644531249984</v>
      </c>
      <c r="BB34" s="64">
        <f>-Assumptions!$B$46/12*(1+Assumptions!$B$11)^(BB5-1)</f>
        <v>-551.90644531249984</v>
      </c>
      <c r="BC34" s="64">
        <f>-Assumptions!$B$46/12*(1+Assumptions!$B$11)^(BC5-1)</f>
        <v>-551.90644531249984</v>
      </c>
      <c r="BD34" s="64">
        <f>-Assumptions!$B$46/12*(1+Assumptions!$B$11)^(BD5-1)</f>
        <v>-551.90644531249984</v>
      </c>
      <c r="BE34" s="64">
        <f>-Assumptions!$B$46/12*(1+Assumptions!$B$11)^(BE5-1)</f>
        <v>-551.90644531249984</v>
      </c>
      <c r="BF34" s="64">
        <f>-Assumptions!$B$46/12*(1+Assumptions!$B$11)^(BF5-1)</f>
        <v>-551.90644531249984</v>
      </c>
      <c r="BG34" s="64">
        <f>-Assumptions!$B$46/12*(1+Assumptions!$B$11)^(BG5-1)</f>
        <v>-551.90644531249984</v>
      </c>
      <c r="BH34" s="64">
        <f>-Assumptions!$B$46/12*(1+Assumptions!$B$11)^(BH5-1)</f>
        <v>-551.90644531249984</v>
      </c>
      <c r="BI34" s="64">
        <f>-Assumptions!$B$46/12*(1+Assumptions!$B$11)^(BI5-1)</f>
        <v>-551.90644531249984</v>
      </c>
      <c r="BJ34" s="64">
        <f>-Assumptions!$B$46/12*(1+Assumptions!$B$11)^(BJ5-1)</f>
        <v>-551.90644531249984</v>
      </c>
      <c r="BK34" s="64">
        <f>-Assumptions!$B$46/12*(1+Assumptions!$B$11)^(BK5-1)</f>
        <v>-551.90644531249984</v>
      </c>
      <c r="BL34" s="64">
        <f>-Assumptions!$B$46/12*(1+Assumptions!$B$11)^(BL5-1)</f>
        <v>-565.70410644531228</v>
      </c>
      <c r="BM34" s="64">
        <f>-Assumptions!$B$46/12*(1+Assumptions!$B$11)^(BM5-1)</f>
        <v>-565.70410644531228</v>
      </c>
      <c r="BN34" s="64">
        <f>-Assumptions!$B$46/12*(1+Assumptions!$B$11)^(BN5-1)</f>
        <v>-565.70410644531228</v>
      </c>
      <c r="BO34" s="64">
        <f>-Assumptions!$B$46/12*(1+Assumptions!$B$11)^(BO5-1)</f>
        <v>-565.70410644531228</v>
      </c>
      <c r="BP34" s="64">
        <f>-Assumptions!$B$46/12*(1+Assumptions!$B$11)^(BP5-1)</f>
        <v>-565.70410644531228</v>
      </c>
      <c r="BQ34" s="64">
        <f>-Assumptions!$B$46/12*(1+Assumptions!$B$11)^(BQ5-1)</f>
        <v>-565.70410644531228</v>
      </c>
      <c r="BR34" s="64">
        <f>-Assumptions!$B$46/12*(1+Assumptions!$B$11)^(BR5-1)</f>
        <v>-565.70410644531228</v>
      </c>
      <c r="BS34" s="64">
        <f>-Assumptions!$B$46/12*(1+Assumptions!$B$11)^(BS5-1)</f>
        <v>-565.70410644531228</v>
      </c>
      <c r="BT34" s="64">
        <f>-Assumptions!$B$46/12*(1+Assumptions!$B$11)^(BT5-1)</f>
        <v>-565.70410644531228</v>
      </c>
      <c r="BU34" s="64">
        <f>-Assumptions!$B$46/12*(1+Assumptions!$B$11)^(BU5-1)</f>
        <v>-565.70410644531228</v>
      </c>
      <c r="BV34" s="64">
        <f>-Assumptions!$B$46/12*(1+Assumptions!$B$11)^(BV5-1)</f>
        <v>-565.70410644531228</v>
      </c>
      <c r="BW34" s="64">
        <f>-Assumptions!$B$46/12*(1+Assumptions!$B$11)^(BW5-1)</f>
        <v>-565.70410644531228</v>
      </c>
      <c r="BX34" s="64">
        <f>-Assumptions!$B$46/12*(1+Assumptions!$B$11)^(BX5-1)</f>
        <v>-579.84670910644513</v>
      </c>
      <c r="BY34" s="64">
        <f>-Assumptions!$B$46/12*(1+Assumptions!$B$11)^(BY5-1)</f>
        <v>-579.84670910644513</v>
      </c>
      <c r="BZ34" s="64">
        <f>-Assumptions!$B$46/12*(1+Assumptions!$B$11)^(BZ5-1)</f>
        <v>-579.84670910644513</v>
      </c>
      <c r="CA34" s="64">
        <f>-Assumptions!$B$46/12*(1+Assumptions!$B$11)^(CA5-1)</f>
        <v>-579.84670910644513</v>
      </c>
      <c r="CB34" s="64">
        <f>-Assumptions!$B$46/12*(1+Assumptions!$B$11)^(CB5-1)</f>
        <v>-579.84670910644513</v>
      </c>
      <c r="CC34" s="64">
        <f>-Assumptions!$B$46/12*(1+Assumptions!$B$11)^(CC5-1)</f>
        <v>-579.84670910644513</v>
      </c>
      <c r="CD34" s="64">
        <f>-Assumptions!$B$46/12*(1+Assumptions!$B$11)^(CD5-1)</f>
        <v>-579.84670910644513</v>
      </c>
      <c r="CE34" s="64">
        <f>-Assumptions!$B$46/12*(1+Assumptions!$B$11)^(CE5-1)</f>
        <v>-579.84670910644513</v>
      </c>
      <c r="CF34" s="64">
        <f>-Assumptions!$B$46/12*(1+Assumptions!$B$11)^(CF5-1)</f>
        <v>-579.84670910644513</v>
      </c>
      <c r="CG34" s="64">
        <f>-Assumptions!$B$46/12*(1+Assumptions!$B$11)^(CG5-1)</f>
        <v>-579.84670910644513</v>
      </c>
      <c r="CH34" s="64">
        <f>-Assumptions!$B$46/12*(1+Assumptions!$B$11)^(CH5-1)</f>
        <v>-579.84670910644513</v>
      </c>
      <c r="CI34" s="64">
        <f>-Assumptions!$B$46/12*(1+Assumptions!$B$11)^(CI5-1)</f>
        <v>-579.84670910644513</v>
      </c>
      <c r="CJ34" s="64">
        <f>-Assumptions!$B$46/12*(1+Assumptions!$B$11)^(CJ5-1)</f>
        <v>-594.34287683410628</v>
      </c>
      <c r="CK34" s="64">
        <f>-Assumptions!$B$46/12*(1+Assumptions!$B$11)^(CK5-1)</f>
        <v>-594.34287683410628</v>
      </c>
      <c r="CL34" s="64">
        <f>-Assumptions!$B$46/12*(1+Assumptions!$B$11)^(CL5-1)</f>
        <v>-594.34287683410628</v>
      </c>
      <c r="CM34" s="64">
        <f>-Assumptions!$B$46/12*(1+Assumptions!$B$11)^(CM5-1)</f>
        <v>-594.34287683410628</v>
      </c>
      <c r="CN34" s="64">
        <f>-Assumptions!$B$46/12*(1+Assumptions!$B$11)^(CN5-1)</f>
        <v>-594.34287683410628</v>
      </c>
      <c r="CO34" s="64">
        <f>-Assumptions!$B$46/12*(1+Assumptions!$B$11)^(CO5-1)</f>
        <v>-594.34287683410628</v>
      </c>
      <c r="CP34" s="64">
        <f>-Assumptions!$B$46/12*(1+Assumptions!$B$11)^(CP5-1)</f>
        <v>-594.34287683410628</v>
      </c>
      <c r="CQ34" s="64">
        <f>-Assumptions!$B$46/12*(1+Assumptions!$B$11)^(CQ5-1)</f>
        <v>-594.34287683410628</v>
      </c>
      <c r="CR34" s="64">
        <f>-Assumptions!$B$46/12*(1+Assumptions!$B$11)^(CR5-1)</f>
        <v>-594.34287683410628</v>
      </c>
      <c r="CS34" s="64">
        <f>-Assumptions!$B$46/12*(1+Assumptions!$B$11)^(CS5-1)</f>
        <v>-594.34287683410628</v>
      </c>
      <c r="CT34" s="64">
        <f>-Assumptions!$B$46/12*(1+Assumptions!$B$11)^(CT5-1)</f>
        <v>-594.34287683410628</v>
      </c>
      <c r="CU34" s="64">
        <f>-Assumptions!$B$46/12*(1+Assumptions!$B$11)^(CU5-1)</f>
        <v>-594.34287683410628</v>
      </c>
      <c r="CV34" s="64">
        <f>-Assumptions!$B$46/12*(1+Assumptions!$B$11)^(CV5-1)</f>
        <v>-609.20144875495885</v>
      </c>
      <c r="CW34" s="64">
        <f>-Assumptions!$B$46/12*(1+Assumptions!$B$11)^(CW5-1)</f>
        <v>-609.20144875495885</v>
      </c>
      <c r="CX34" s="64">
        <f>-Assumptions!$B$46/12*(1+Assumptions!$B$11)^(CX5-1)</f>
        <v>-609.20144875495885</v>
      </c>
      <c r="CY34" s="64">
        <f>-Assumptions!$B$46/12*(1+Assumptions!$B$11)^(CY5-1)</f>
        <v>-609.20144875495885</v>
      </c>
      <c r="CZ34" s="64">
        <f>-Assumptions!$B$46/12*(1+Assumptions!$B$11)^(CZ5-1)</f>
        <v>-609.20144875495885</v>
      </c>
      <c r="DA34" s="64">
        <f>-Assumptions!$B$46/12*(1+Assumptions!$B$11)^(DA5-1)</f>
        <v>-609.20144875495885</v>
      </c>
      <c r="DB34" s="64">
        <f>-Assumptions!$B$46/12*(1+Assumptions!$B$11)^(DB5-1)</f>
        <v>-609.20144875495885</v>
      </c>
      <c r="DC34" s="64">
        <f>-Assumptions!$B$46/12*(1+Assumptions!$B$11)^(DC5-1)</f>
        <v>-609.20144875495885</v>
      </c>
      <c r="DD34" s="64">
        <f>-Assumptions!$B$46/12*(1+Assumptions!$B$11)^(DD5-1)</f>
        <v>-609.20144875495885</v>
      </c>
      <c r="DE34" s="64">
        <f>-Assumptions!$B$46/12*(1+Assumptions!$B$11)^(DE5-1)</f>
        <v>-609.20144875495885</v>
      </c>
      <c r="DF34" s="64">
        <f>-Assumptions!$B$46/12*(1+Assumptions!$B$11)^(DF5-1)</f>
        <v>-609.20144875495885</v>
      </c>
      <c r="DG34" s="64">
        <f>-Assumptions!$B$46/12*(1+Assumptions!$B$11)^(DG5-1)</f>
        <v>-609.20144875495885</v>
      </c>
      <c r="DH34" s="64">
        <f>-Assumptions!$B$46/12*(1+Assumptions!$B$11)^(DH5-1)</f>
        <v>-624.43148497383277</v>
      </c>
      <c r="DI34" s="64">
        <f>-Assumptions!$B$46/12*(1+Assumptions!$B$11)^(DI5-1)</f>
        <v>-624.43148497383277</v>
      </c>
      <c r="DJ34" s="64">
        <f>-Assumptions!$B$46/12*(1+Assumptions!$B$11)^(DJ5-1)</f>
        <v>-624.43148497383277</v>
      </c>
      <c r="DK34" s="64">
        <f>-Assumptions!$B$46/12*(1+Assumptions!$B$11)^(DK5-1)</f>
        <v>-624.43148497383277</v>
      </c>
      <c r="DL34" s="64">
        <f>-Assumptions!$B$46/12*(1+Assumptions!$B$11)^(DL5-1)</f>
        <v>-624.43148497383277</v>
      </c>
      <c r="DM34" s="64">
        <f>-Assumptions!$B$46/12*(1+Assumptions!$B$11)^(DM5-1)</f>
        <v>-624.43148497383277</v>
      </c>
      <c r="DN34" s="64">
        <f>-Assumptions!$B$46/12*(1+Assumptions!$B$11)^(DN5-1)</f>
        <v>-624.43148497383277</v>
      </c>
      <c r="DO34" s="64">
        <f>-Assumptions!$B$46/12*(1+Assumptions!$B$11)^(DO5-1)</f>
        <v>-624.43148497383277</v>
      </c>
      <c r="DP34" s="64">
        <f>-Assumptions!$B$46/12*(1+Assumptions!$B$11)^(DP5-1)</f>
        <v>-624.43148497383277</v>
      </c>
      <c r="DQ34" s="64">
        <f>-Assumptions!$B$46/12*(1+Assumptions!$B$11)^(DQ5-1)</f>
        <v>-624.43148497383277</v>
      </c>
      <c r="DR34" s="64">
        <f>-Assumptions!$B$46/12*(1+Assumptions!$B$11)^(DR5-1)</f>
        <v>-624.43148497383277</v>
      </c>
      <c r="DS34" s="64">
        <f>-Assumptions!$B$46/12*(1+Assumptions!$B$11)^(DS5-1)</f>
        <v>-624.43148497383277</v>
      </c>
    </row>
    <row r="35" spans="1:123" x14ac:dyDescent="0.25">
      <c r="A35" s="1" t="s">
        <v>299</v>
      </c>
      <c r="D35" s="64">
        <f>-Assumptions!$B$47*D18</f>
        <v>-1298.9122222222222</v>
      </c>
      <c r="E35" s="64">
        <f>-Assumptions!$B$47*E18</f>
        <v>-1313.3244444444447</v>
      </c>
      <c r="F35" s="64">
        <f>-Assumptions!$B$47*F18</f>
        <v>-1327.7366666666667</v>
      </c>
      <c r="G35" s="64">
        <f>-Assumptions!$B$47*G18</f>
        <v>-1342.1488888888891</v>
      </c>
      <c r="H35" s="64">
        <f>-Assumptions!$B$47*H18</f>
        <v>-1356.5611111111111</v>
      </c>
      <c r="I35" s="64">
        <f>-Assumptions!$B$47*I18</f>
        <v>-1370.9733333333334</v>
      </c>
      <c r="J35" s="64">
        <f>-Assumptions!$B$47*J18</f>
        <v>-1385.3855555555556</v>
      </c>
      <c r="K35" s="64">
        <f>-Assumptions!$B$47*K18</f>
        <v>-1399.797777777778</v>
      </c>
      <c r="L35" s="64">
        <f>-Assumptions!$B$47*L18</f>
        <v>-1414.2100000000003</v>
      </c>
      <c r="M35" s="64">
        <f>-Assumptions!$B$47*M18</f>
        <v>-1428.6222222222223</v>
      </c>
      <c r="N35" s="64">
        <f>-Assumptions!$B$47*N18</f>
        <v>-1443.0344444444447</v>
      </c>
      <c r="O35" s="64">
        <f>-Assumptions!$B$47*O18</f>
        <v>-1457.4466666666667</v>
      </c>
      <c r="P35" s="64">
        <f>-Assumptions!$B$47*P18</f>
        <v>-1515.6655444444445</v>
      </c>
      <c r="Q35" s="64">
        <f>-Assumptions!$B$47*Q18</f>
        <v>-1530.5063555555557</v>
      </c>
      <c r="R35" s="64">
        <f>-Assumptions!$B$47*R18</f>
        <v>-1545.3471666666669</v>
      </c>
      <c r="S35" s="64">
        <f>-Assumptions!$B$47*S18</f>
        <v>-1560.1879777777783</v>
      </c>
      <c r="T35" s="64">
        <f>-Assumptions!$B$47*T18</f>
        <v>-1575.0287888888888</v>
      </c>
      <c r="U35" s="64">
        <f>-Assumptions!$B$47*U18</f>
        <v>-1589.8696</v>
      </c>
      <c r="V35" s="64">
        <f>-Assumptions!$B$47*V18</f>
        <v>-1589.8696</v>
      </c>
      <c r="W35" s="64">
        <f>-Assumptions!$B$47*W18</f>
        <v>-1589.8696</v>
      </c>
      <c r="X35" s="64">
        <f>-Assumptions!$B$47*X18</f>
        <v>-1589.8696</v>
      </c>
      <c r="Y35" s="64">
        <f>-Assumptions!$B$47*Y18</f>
        <v>-1589.8696</v>
      </c>
      <c r="Z35" s="64">
        <f>-Assumptions!$B$47*Z18</f>
        <v>-1589.8696</v>
      </c>
      <c r="AA35" s="64">
        <f>-Assumptions!$B$47*AA18</f>
        <v>-1589.8696</v>
      </c>
      <c r="AB35" s="64">
        <f>-Assumptions!$B$47*AB18</f>
        <v>-1637.1884880000002</v>
      </c>
      <c r="AC35" s="64">
        <f>-Assumptions!$B$47*AC18</f>
        <v>-1637.1884880000002</v>
      </c>
      <c r="AD35" s="64">
        <f>-Assumptions!$B$47*AD18</f>
        <v>-1637.1884880000002</v>
      </c>
      <c r="AE35" s="64">
        <f>-Assumptions!$B$47*AE18</f>
        <v>-1637.1884880000002</v>
      </c>
      <c r="AF35" s="64">
        <f>-Assumptions!$B$47*AF18</f>
        <v>-1637.1884880000002</v>
      </c>
      <c r="AG35" s="64">
        <f>-Assumptions!$B$47*AG18</f>
        <v>-1637.1884880000002</v>
      </c>
      <c r="AH35" s="64">
        <f>-Assumptions!$B$47*AH18</f>
        <v>-1637.1884880000002</v>
      </c>
      <c r="AI35" s="64">
        <f>-Assumptions!$B$47*AI18</f>
        <v>-1637.1884880000002</v>
      </c>
      <c r="AJ35" s="64">
        <f>-Assumptions!$B$47*AJ18</f>
        <v>-1637.1884880000002</v>
      </c>
      <c r="AK35" s="64">
        <f>-Assumptions!$B$47*AK18</f>
        <v>-1637.1884880000002</v>
      </c>
      <c r="AL35" s="64">
        <f>-Assumptions!$B$47*AL18</f>
        <v>-1637.1884880000002</v>
      </c>
      <c r="AM35" s="64">
        <f>-Assumptions!$B$47*AM18</f>
        <v>-1637.1884880000002</v>
      </c>
      <c r="AN35" s="64">
        <f>-Assumptions!$B$47*AN18</f>
        <v>-1685.9175126400003</v>
      </c>
      <c r="AO35" s="64">
        <f>-Assumptions!$B$47*AO18</f>
        <v>-1685.9175126400003</v>
      </c>
      <c r="AP35" s="64">
        <f>-Assumptions!$B$47*AP18</f>
        <v>-1685.9175126400003</v>
      </c>
      <c r="AQ35" s="64">
        <f>-Assumptions!$B$47*AQ18</f>
        <v>-1685.9175126400003</v>
      </c>
      <c r="AR35" s="64">
        <f>-Assumptions!$B$47*AR18</f>
        <v>-1685.9175126400003</v>
      </c>
      <c r="AS35" s="64">
        <f>-Assumptions!$B$47*AS18</f>
        <v>-1685.9175126400003</v>
      </c>
      <c r="AT35" s="64">
        <f>-Assumptions!$B$47*AT18</f>
        <v>-1685.9175126400003</v>
      </c>
      <c r="AU35" s="64">
        <f>-Assumptions!$B$47*AU18</f>
        <v>-1685.9175126400003</v>
      </c>
      <c r="AV35" s="64">
        <f>-Assumptions!$B$47*AV18</f>
        <v>-1685.9175126400003</v>
      </c>
      <c r="AW35" s="64">
        <f>-Assumptions!$B$47*AW18</f>
        <v>-1685.9175126400003</v>
      </c>
      <c r="AX35" s="64">
        <f>-Assumptions!$B$47*AX18</f>
        <v>-1685.9175126400003</v>
      </c>
      <c r="AY35" s="64">
        <f>-Assumptions!$B$47*AY18</f>
        <v>-1685.9175126400003</v>
      </c>
      <c r="AZ35" s="64">
        <f>-Assumptions!$B$47*AZ18</f>
        <v>-1736.0987422691996</v>
      </c>
      <c r="BA35" s="64">
        <f>-Assumptions!$B$47*BA18</f>
        <v>-1736.0987422691996</v>
      </c>
      <c r="BB35" s="64">
        <f>-Assumptions!$B$47*BB18</f>
        <v>-1736.0987422691996</v>
      </c>
      <c r="BC35" s="64">
        <f>-Assumptions!$B$47*BC18</f>
        <v>-1736.0987422691996</v>
      </c>
      <c r="BD35" s="64">
        <f>-Assumptions!$B$47*BD18</f>
        <v>-1736.0987422691996</v>
      </c>
      <c r="BE35" s="64">
        <f>-Assumptions!$B$47*BE18</f>
        <v>-1736.0987422691996</v>
      </c>
      <c r="BF35" s="64">
        <f>-Assumptions!$B$47*BF18</f>
        <v>-1736.0987422691996</v>
      </c>
      <c r="BG35" s="64">
        <f>-Assumptions!$B$47*BG18</f>
        <v>-1736.0987422691996</v>
      </c>
      <c r="BH35" s="64">
        <f>-Assumptions!$B$47*BH18</f>
        <v>-1736.0987422691996</v>
      </c>
      <c r="BI35" s="64">
        <f>-Assumptions!$B$47*BI18</f>
        <v>-1736.0987422691996</v>
      </c>
      <c r="BJ35" s="64">
        <f>-Assumptions!$B$47*BJ18</f>
        <v>-1736.0987422691996</v>
      </c>
      <c r="BK35" s="64">
        <f>-Assumptions!$B$47*BK18</f>
        <v>-1736.0987422691996</v>
      </c>
      <c r="BL35" s="64">
        <f>-Assumptions!$B$47*BL18</f>
        <v>-1787.7755013935257</v>
      </c>
      <c r="BM35" s="64">
        <f>-Assumptions!$B$47*BM18</f>
        <v>-1787.7755013935257</v>
      </c>
      <c r="BN35" s="64">
        <f>-Assumptions!$B$47*BN18</f>
        <v>-1787.7755013935257</v>
      </c>
      <c r="BO35" s="64">
        <f>-Assumptions!$B$47*BO18</f>
        <v>-1787.7755013935257</v>
      </c>
      <c r="BP35" s="64">
        <f>-Assumptions!$B$47*BP18</f>
        <v>-1787.7755013935257</v>
      </c>
      <c r="BQ35" s="64">
        <f>-Assumptions!$B$47*BQ18</f>
        <v>-1787.7755013935257</v>
      </c>
      <c r="BR35" s="64">
        <f>-Assumptions!$B$47*BR18</f>
        <v>-1787.7755013935257</v>
      </c>
      <c r="BS35" s="64">
        <f>-Assumptions!$B$47*BS18</f>
        <v>-1787.7755013935257</v>
      </c>
      <c r="BT35" s="64">
        <f>-Assumptions!$B$47*BT18</f>
        <v>-1787.7755013935257</v>
      </c>
      <c r="BU35" s="64">
        <f>-Assumptions!$B$47*BU18</f>
        <v>-1787.7755013935257</v>
      </c>
      <c r="BV35" s="64">
        <f>-Assumptions!$B$47*BV18</f>
        <v>-1787.7755013935257</v>
      </c>
      <c r="BW35" s="64">
        <f>-Assumptions!$B$47*BW18</f>
        <v>-1787.7755013935257</v>
      </c>
      <c r="BX35" s="64">
        <f>-Assumptions!$B$47*BX18</f>
        <v>-1840.9924082129885</v>
      </c>
      <c r="BY35" s="64">
        <f>-Assumptions!$B$47*BY18</f>
        <v>-1840.9924082129885</v>
      </c>
      <c r="BZ35" s="64">
        <f>-Assumptions!$B$47*BZ18</f>
        <v>-1840.9924082129885</v>
      </c>
      <c r="CA35" s="64">
        <f>-Assumptions!$B$47*CA18</f>
        <v>-1840.9924082129885</v>
      </c>
      <c r="CB35" s="64">
        <f>-Assumptions!$B$47*CB18</f>
        <v>-1840.9924082129885</v>
      </c>
      <c r="CC35" s="64">
        <f>-Assumptions!$B$47*CC18</f>
        <v>-1840.9924082129885</v>
      </c>
      <c r="CD35" s="64">
        <f>-Assumptions!$B$47*CD18</f>
        <v>-1840.9924082129885</v>
      </c>
      <c r="CE35" s="64">
        <f>-Assumptions!$B$47*CE18</f>
        <v>-1840.9924082129885</v>
      </c>
      <c r="CF35" s="64">
        <f>-Assumptions!$B$47*CF18</f>
        <v>-1840.9924082129885</v>
      </c>
      <c r="CG35" s="64">
        <f>-Assumptions!$B$47*CG18</f>
        <v>-1840.9924082129885</v>
      </c>
      <c r="CH35" s="64">
        <f>-Assumptions!$B$47*CH18</f>
        <v>-1840.9924082129885</v>
      </c>
      <c r="CI35" s="64">
        <f>-Assumptions!$B$47*CI18</f>
        <v>-1840.9924082129885</v>
      </c>
      <c r="CJ35" s="64">
        <f>-Assumptions!$B$47*CJ18</f>
        <v>-1895.7954132814762</v>
      </c>
      <c r="CK35" s="64">
        <f>-Assumptions!$B$47*CK18</f>
        <v>-1895.7954132814762</v>
      </c>
      <c r="CL35" s="64">
        <f>-Assumptions!$B$47*CL18</f>
        <v>-1895.7954132814762</v>
      </c>
      <c r="CM35" s="64">
        <f>-Assumptions!$B$47*CM18</f>
        <v>-1895.7954132814762</v>
      </c>
      <c r="CN35" s="64">
        <f>-Assumptions!$B$47*CN18</f>
        <v>-1895.7954132814762</v>
      </c>
      <c r="CO35" s="64">
        <f>-Assumptions!$B$47*CO18</f>
        <v>-1895.7954132814762</v>
      </c>
      <c r="CP35" s="64">
        <f>-Assumptions!$B$47*CP18</f>
        <v>-1895.7954132814762</v>
      </c>
      <c r="CQ35" s="64">
        <f>-Assumptions!$B$47*CQ18</f>
        <v>-1895.7954132814762</v>
      </c>
      <c r="CR35" s="64">
        <f>-Assumptions!$B$47*CR18</f>
        <v>-1895.7954132814762</v>
      </c>
      <c r="CS35" s="64">
        <f>-Assumptions!$B$47*CS18</f>
        <v>-1895.7954132814762</v>
      </c>
      <c r="CT35" s="64">
        <f>-Assumptions!$B$47*CT18</f>
        <v>-1895.7954132814762</v>
      </c>
      <c r="CU35" s="64">
        <f>-Assumptions!$B$47*CU18</f>
        <v>-1895.7954132814762</v>
      </c>
      <c r="CV35" s="64">
        <f>-Assumptions!$B$47*CV18</f>
        <v>-1952.2318393225698</v>
      </c>
      <c r="CW35" s="64">
        <f>-Assumptions!$B$47*CW18</f>
        <v>-1952.2318393225698</v>
      </c>
      <c r="CX35" s="64">
        <f>-Assumptions!$B$47*CX18</f>
        <v>-1952.2318393225698</v>
      </c>
      <c r="CY35" s="64">
        <f>-Assumptions!$B$47*CY18</f>
        <v>-1952.2318393225698</v>
      </c>
      <c r="CZ35" s="64">
        <f>-Assumptions!$B$47*CZ18</f>
        <v>-1952.2318393225698</v>
      </c>
      <c r="DA35" s="64">
        <f>-Assumptions!$B$47*DA18</f>
        <v>-1952.2318393225698</v>
      </c>
      <c r="DB35" s="64">
        <f>-Assumptions!$B$47*DB18</f>
        <v>-1952.2318393225698</v>
      </c>
      <c r="DC35" s="64">
        <f>-Assumptions!$B$47*DC18</f>
        <v>-1952.2318393225698</v>
      </c>
      <c r="DD35" s="64">
        <f>-Assumptions!$B$47*DD18</f>
        <v>-1952.2318393225698</v>
      </c>
      <c r="DE35" s="64">
        <f>-Assumptions!$B$47*DE18</f>
        <v>-1952.2318393225698</v>
      </c>
      <c r="DF35" s="64">
        <f>-Assumptions!$B$47*DF18</f>
        <v>-1952.2318393225698</v>
      </c>
      <c r="DG35" s="64">
        <f>-Assumptions!$B$47*DG18</f>
        <v>-1952.2318393225698</v>
      </c>
      <c r="DH35" s="64">
        <f>-Assumptions!$B$47*DH18</f>
        <v>-2010.3504222359629</v>
      </c>
      <c r="DI35" s="64">
        <f>-Assumptions!$B$47*DI18</f>
        <v>-2010.3504222359629</v>
      </c>
      <c r="DJ35" s="64">
        <f>-Assumptions!$B$47*DJ18</f>
        <v>-2010.3504222359629</v>
      </c>
      <c r="DK35" s="64">
        <f>-Assumptions!$B$47*DK18</f>
        <v>-2010.3504222359629</v>
      </c>
      <c r="DL35" s="64">
        <f>-Assumptions!$B$47*DL18</f>
        <v>-2010.3504222359629</v>
      </c>
      <c r="DM35" s="64">
        <f>-Assumptions!$B$47*DM18</f>
        <v>-2010.3504222359629</v>
      </c>
      <c r="DN35" s="64">
        <f>-Assumptions!$B$47*DN18</f>
        <v>-2010.3504222359629</v>
      </c>
      <c r="DO35" s="64">
        <f>-Assumptions!$B$47*DO18</f>
        <v>-2010.3504222359629</v>
      </c>
      <c r="DP35" s="64">
        <f>-Assumptions!$B$47*DP18</f>
        <v>-2010.3504222359629</v>
      </c>
      <c r="DQ35" s="64">
        <f>-Assumptions!$B$47*DQ18</f>
        <v>-2010.3504222359629</v>
      </c>
      <c r="DR35" s="64">
        <f>-Assumptions!$B$47*DR18</f>
        <v>-2010.3504222359629</v>
      </c>
      <c r="DS35" s="64">
        <f>-Assumptions!$B$47*DS18</f>
        <v>-2010.3504222359629</v>
      </c>
    </row>
    <row r="36" spans="1:123" x14ac:dyDescent="0.25">
      <c r="A36" s="14" t="s">
        <v>276</v>
      </c>
      <c r="D36" s="67">
        <f t="shared" ref="D36:AI36" si="12">SUM(D20:D35)</f>
        <v>-20382.245555555557</v>
      </c>
      <c r="E36" s="67">
        <f t="shared" si="12"/>
        <v>-20396.657777777782</v>
      </c>
      <c r="F36" s="67">
        <f t="shared" si="12"/>
        <v>-20411.070000000003</v>
      </c>
      <c r="G36" s="67">
        <f t="shared" si="12"/>
        <v>-20425.482222222225</v>
      </c>
      <c r="H36" s="67">
        <f t="shared" si="12"/>
        <v>-20439.894444444446</v>
      </c>
      <c r="I36" s="67">
        <f t="shared" si="12"/>
        <v>-20454.306666666671</v>
      </c>
      <c r="J36" s="67">
        <f t="shared" si="12"/>
        <v>-20468.718888888892</v>
      </c>
      <c r="K36" s="67">
        <f t="shared" si="12"/>
        <v>-20483.131111111114</v>
      </c>
      <c r="L36" s="67">
        <f t="shared" si="12"/>
        <v>-20497.543333333335</v>
      </c>
      <c r="M36" s="67">
        <f t="shared" si="12"/>
        <v>-20511.955555555556</v>
      </c>
      <c r="N36" s="67">
        <f t="shared" si="12"/>
        <v>-20526.367777777781</v>
      </c>
      <c r="O36" s="67">
        <f t="shared" si="12"/>
        <v>-20540.780000000002</v>
      </c>
      <c r="P36" s="67">
        <f t="shared" si="12"/>
        <v>-21076.082211111108</v>
      </c>
      <c r="Q36" s="67">
        <f t="shared" si="12"/>
        <v>-21090.923022222221</v>
      </c>
      <c r="R36" s="67">
        <f t="shared" si="12"/>
        <v>-21105.763833333331</v>
      </c>
      <c r="S36" s="67">
        <f t="shared" si="12"/>
        <v>-21120.604644444444</v>
      </c>
      <c r="T36" s="67">
        <f t="shared" si="12"/>
        <v>-21135.445455555553</v>
      </c>
      <c r="U36" s="67">
        <f t="shared" si="12"/>
        <v>-21150.286266666662</v>
      </c>
      <c r="V36" s="67">
        <f t="shared" si="12"/>
        <v>-21150.286266666662</v>
      </c>
      <c r="W36" s="67">
        <f t="shared" si="12"/>
        <v>-21150.286266666662</v>
      </c>
      <c r="X36" s="67">
        <f t="shared" si="12"/>
        <v>-21150.286266666662</v>
      </c>
      <c r="Y36" s="67">
        <f t="shared" si="12"/>
        <v>-21150.286266666662</v>
      </c>
      <c r="Z36" s="67">
        <f t="shared" si="12"/>
        <v>-21150.286266666662</v>
      </c>
      <c r="AA36" s="67">
        <f t="shared" si="12"/>
        <v>-21150.286266666662</v>
      </c>
      <c r="AB36" s="67">
        <f t="shared" si="12"/>
        <v>-21686.615571333332</v>
      </c>
      <c r="AC36" s="67">
        <f t="shared" si="12"/>
        <v>-21686.615571333332</v>
      </c>
      <c r="AD36" s="67">
        <f t="shared" si="12"/>
        <v>-21686.615571333332</v>
      </c>
      <c r="AE36" s="67">
        <f t="shared" si="12"/>
        <v>-21686.615571333332</v>
      </c>
      <c r="AF36" s="67">
        <f t="shared" si="12"/>
        <v>-21686.615571333332</v>
      </c>
      <c r="AG36" s="67">
        <f t="shared" si="12"/>
        <v>-21686.615571333332</v>
      </c>
      <c r="AH36" s="67">
        <f t="shared" si="12"/>
        <v>-21686.615571333332</v>
      </c>
      <c r="AI36" s="67">
        <f t="shared" si="12"/>
        <v>-21686.615571333332</v>
      </c>
      <c r="AJ36" s="67">
        <f t="shared" ref="AJ36:BO36" si="13">SUM(AJ20:AJ35)</f>
        <v>-21686.615571333332</v>
      </c>
      <c r="AK36" s="67">
        <f t="shared" si="13"/>
        <v>-21686.615571333332</v>
      </c>
      <c r="AL36" s="67">
        <f t="shared" si="13"/>
        <v>-21686.615571333332</v>
      </c>
      <c r="AM36" s="67">
        <f t="shared" si="13"/>
        <v>-21686.615571333332</v>
      </c>
      <c r="AN36" s="67">
        <f t="shared" si="13"/>
        <v>-22236.580273056665</v>
      </c>
      <c r="AO36" s="67">
        <f t="shared" si="13"/>
        <v>-22236.580273056665</v>
      </c>
      <c r="AP36" s="67">
        <f t="shared" si="13"/>
        <v>-22236.580273056665</v>
      </c>
      <c r="AQ36" s="67">
        <f t="shared" si="13"/>
        <v>-22236.580273056665</v>
      </c>
      <c r="AR36" s="67">
        <f t="shared" si="13"/>
        <v>-22236.580273056665</v>
      </c>
      <c r="AS36" s="67">
        <f t="shared" si="13"/>
        <v>-22236.580273056665</v>
      </c>
      <c r="AT36" s="67">
        <f t="shared" si="13"/>
        <v>-22236.580273056665</v>
      </c>
      <c r="AU36" s="67">
        <f t="shared" si="13"/>
        <v>-22236.580273056665</v>
      </c>
      <c r="AV36" s="67">
        <f t="shared" si="13"/>
        <v>-22236.580273056665</v>
      </c>
      <c r="AW36" s="67">
        <f t="shared" si="13"/>
        <v>-22236.580273056665</v>
      </c>
      <c r="AX36" s="67">
        <f t="shared" si="13"/>
        <v>-22236.580273056665</v>
      </c>
      <c r="AY36" s="67">
        <f t="shared" si="13"/>
        <v>-22236.580273056665</v>
      </c>
      <c r="AZ36" s="67">
        <f t="shared" si="13"/>
        <v>-22800.528071696273</v>
      </c>
      <c r="BA36" s="67">
        <f t="shared" si="13"/>
        <v>-22800.528071696273</v>
      </c>
      <c r="BB36" s="67">
        <f t="shared" si="13"/>
        <v>-22800.528071696273</v>
      </c>
      <c r="BC36" s="67">
        <f t="shared" si="13"/>
        <v>-22800.528071696273</v>
      </c>
      <c r="BD36" s="67">
        <f t="shared" si="13"/>
        <v>-22800.528071696273</v>
      </c>
      <c r="BE36" s="67">
        <f t="shared" si="13"/>
        <v>-22800.528071696273</v>
      </c>
      <c r="BF36" s="67">
        <f t="shared" si="13"/>
        <v>-22800.528071696273</v>
      </c>
      <c r="BG36" s="67">
        <f t="shared" si="13"/>
        <v>-22800.528071696273</v>
      </c>
      <c r="BH36" s="67">
        <f t="shared" si="13"/>
        <v>-22800.528071696273</v>
      </c>
      <c r="BI36" s="67">
        <f t="shared" si="13"/>
        <v>-22800.528071696273</v>
      </c>
      <c r="BJ36" s="67">
        <f t="shared" si="13"/>
        <v>-22800.528071696273</v>
      </c>
      <c r="BK36" s="67">
        <f t="shared" si="13"/>
        <v>-22800.528071696273</v>
      </c>
      <c r="BL36" s="67">
        <f t="shared" si="13"/>
        <v>-23378.815564056269</v>
      </c>
      <c r="BM36" s="67">
        <f t="shared" si="13"/>
        <v>-23378.815564056269</v>
      </c>
      <c r="BN36" s="67">
        <f t="shared" si="13"/>
        <v>-23378.815564056269</v>
      </c>
      <c r="BO36" s="67">
        <f t="shared" si="13"/>
        <v>-23378.815564056269</v>
      </c>
      <c r="BP36" s="67">
        <f t="shared" ref="BP36:CU36" si="14">SUM(BP20:BP35)</f>
        <v>-23378.815564056269</v>
      </c>
      <c r="BQ36" s="67">
        <f t="shared" si="14"/>
        <v>-23378.815564056269</v>
      </c>
      <c r="BR36" s="67">
        <f t="shared" si="14"/>
        <v>-23378.815564056269</v>
      </c>
      <c r="BS36" s="67">
        <f t="shared" si="14"/>
        <v>-23378.815564056269</v>
      </c>
      <c r="BT36" s="67">
        <f t="shared" si="14"/>
        <v>-23378.815564056269</v>
      </c>
      <c r="BU36" s="67">
        <f t="shared" si="14"/>
        <v>-23378.815564056269</v>
      </c>
      <c r="BV36" s="67">
        <f t="shared" si="14"/>
        <v>-23378.815564056269</v>
      </c>
      <c r="BW36" s="67">
        <f t="shared" si="14"/>
        <v>-23378.815564056269</v>
      </c>
      <c r="BX36" s="67">
        <f t="shared" si="14"/>
        <v>-23971.808472442306</v>
      </c>
      <c r="BY36" s="67">
        <f t="shared" si="14"/>
        <v>-23971.808472442306</v>
      </c>
      <c r="BZ36" s="67">
        <f t="shared" si="14"/>
        <v>-23971.808472442306</v>
      </c>
      <c r="CA36" s="67">
        <f t="shared" si="14"/>
        <v>-23971.808472442306</v>
      </c>
      <c r="CB36" s="67">
        <f t="shared" si="14"/>
        <v>-23971.808472442306</v>
      </c>
      <c r="CC36" s="67">
        <f t="shared" si="14"/>
        <v>-23971.808472442306</v>
      </c>
      <c r="CD36" s="67">
        <f t="shared" si="14"/>
        <v>-23971.808472442306</v>
      </c>
      <c r="CE36" s="67">
        <f t="shared" si="14"/>
        <v>-23971.808472442306</v>
      </c>
      <c r="CF36" s="67">
        <f t="shared" si="14"/>
        <v>-23971.808472442306</v>
      </c>
      <c r="CG36" s="67">
        <f t="shared" si="14"/>
        <v>-23971.808472442306</v>
      </c>
      <c r="CH36" s="67">
        <f t="shared" si="14"/>
        <v>-23971.808472442306</v>
      </c>
      <c r="CI36" s="67">
        <f t="shared" si="14"/>
        <v>-23971.808472442306</v>
      </c>
      <c r="CJ36" s="67">
        <f t="shared" si="14"/>
        <v>-24579.881879116532</v>
      </c>
      <c r="CK36" s="67">
        <f t="shared" si="14"/>
        <v>-24579.881879116532</v>
      </c>
      <c r="CL36" s="67">
        <f t="shared" si="14"/>
        <v>-24579.881879116532</v>
      </c>
      <c r="CM36" s="67">
        <f t="shared" si="14"/>
        <v>-24579.881879116532</v>
      </c>
      <c r="CN36" s="67">
        <f t="shared" si="14"/>
        <v>-24579.881879116532</v>
      </c>
      <c r="CO36" s="67">
        <f t="shared" si="14"/>
        <v>-24579.881879116532</v>
      </c>
      <c r="CP36" s="67">
        <f t="shared" si="14"/>
        <v>-24579.881879116532</v>
      </c>
      <c r="CQ36" s="67">
        <f t="shared" si="14"/>
        <v>-24579.881879116532</v>
      </c>
      <c r="CR36" s="67">
        <f t="shared" si="14"/>
        <v>-24579.881879116532</v>
      </c>
      <c r="CS36" s="67">
        <f t="shared" si="14"/>
        <v>-24579.881879116532</v>
      </c>
      <c r="CT36" s="67">
        <f t="shared" si="14"/>
        <v>-24579.881879116532</v>
      </c>
      <c r="CU36" s="67">
        <f t="shared" si="14"/>
        <v>-24579.881879116532</v>
      </c>
      <c r="CV36" s="67">
        <f t="shared" ref="CV36:DS36" si="15">SUM(CV20:CV35)</f>
        <v>-25203.420466803502</v>
      </c>
      <c r="CW36" s="67">
        <f t="shared" si="15"/>
        <v>-25203.420466803502</v>
      </c>
      <c r="CX36" s="67">
        <f t="shared" si="15"/>
        <v>-25203.420466803502</v>
      </c>
      <c r="CY36" s="67">
        <f t="shared" si="15"/>
        <v>-25203.420466803502</v>
      </c>
      <c r="CZ36" s="67">
        <f t="shared" si="15"/>
        <v>-25203.420466803502</v>
      </c>
      <c r="DA36" s="67">
        <f t="shared" si="15"/>
        <v>-25203.420466803502</v>
      </c>
      <c r="DB36" s="67">
        <f t="shared" si="15"/>
        <v>-25203.420466803502</v>
      </c>
      <c r="DC36" s="67">
        <f t="shared" si="15"/>
        <v>-25203.420466803502</v>
      </c>
      <c r="DD36" s="67">
        <f t="shared" si="15"/>
        <v>-25203.420466803502</v>
      </c>
      <c r="DE36" s="67">
        <f t="shared" si="15"/>
        <v>-25203.420466803502</v>
      </c>
      <c r="DF36" s="67">
        <f t="shared" si="15"/>
        <v>-25203.420466803502</v>
      </c>
      <c r="DG36" s="67">
        <f t="shared" si="15"/>
        <v>-25203.420466803502</v>
      </c>
      <c r="DH36" s="67">
        <f t="shared" si="15"/>
        <v>-25842.818765403914</v>
      </c>
      <c r="DI36" s="67">
        <f t="shared" si="15"/>
        <v>-25842.818765403914</v>
      </c>
      <c r="DJ36" s="67">
        <f t="shared" si="15"/>
        <v>-25842.818765403914</v>
      </c>
      <c r="DK36" s="67">
        <f t="shared" si="15"/>
        <v>-25842.818765403914</v>
      </c>
      <c r="DL36" s="67">
        <f t="shared" si="15"/>
        <v>-25842.818765403914</v>
      </c>
      <c r="DM36" s="67">
        <f t="shared" si="15"/>
        <v>-25842.818765403914</v>
      </c>
      <c r="DN36" s="67">
        <f t="shared" si="15"/>
        <v>-25842.818765403914</v>
      </c>
      <c r="DO36" s="67">
        <f t="shared" si="15"/>
        <v>-25842.818765403914</v>
      </c>
      <c r="DP36" s="67">
        <f t="shared" si="15"/>
        <v>-25842.818765403914</v>
      </c>
      <c r="DQ36" s="67">
        <f t="shared" si="15"/>
        <v>-25842.818765403914</v>
      </c>
      <c r="DR36" s="67">
        <f t="shared" si="15"/>
        <v>-25842.818765403914</v>
      </c>
      <c r="DS36" s="67">
        <f t="shared" si="15"/>
        <v>-25842.818765403914</v>
      </c>
    </row>
    <row r="38" spans="1:123" x14ac:dyDescent="0.25">
      <c r="A38" s="52" t="s">
        <v>300</v>
      </c>
      <c r="B38" s="121" t="s">
        <v>509</v>
      </c>
      <c r="D38" s="65">
        <f t="shared" ref="D38:AI38" si="16">D18+D36</f>
        <v>5595.9988888888838</v>
      </c>
      <c r="E38" s="65">
        <f t="shared" si="16"/>
        <v>5869.8311111111107</v>
      </c>
      <c r="F38" s="65">
        <f t="shared" si="16"/>
        <v>6143.6633333333266</v>
      </c>
      <c r="G38" s="65">
        <f t="shared" si="16"/>
        <v>6417.4955555555571</v>
      </c>
      <c r="H38" s="65">
        <f t="shared" si="16"/>
        <v>6691.3277777777766</v>
      </c>
      <c r="I38" s="65">
        <f t="shared" si="16"/>
        <v>6965.1599999999962</v>
      </c>
      <c r="J38" s="65">
        <f t="shared" si="16"/>
        <v>7238.9922222222194</v>
      </c>
      <c r="K38" s="65">
        <f t="shared" si="16"/>
        <v>7512.8244444444463</v>
      </c>
      <c r="L38" s="65">
        <f t="shared" si="16"/>
        <v>7786.6566666666695</v>
      </c>
      <c r="M38" s="65">
        <f t="shared" si="16"/>
        <v>8060.4888888888854</v>
      </c>
      <c r="N38" s="65">
        <f t="shared" si="16"/>
        <v>8334.3211111111123</v>
      </c>
      <c r="O38" s="65">
        <f t="shared" si="16"/>
        <v>8608.1533333333318</v>
      </c>
      <c r="P38" s="65">
        <f t="shared" si="16"/>
        <v>9237.2286777777808</v>
      </c>
      <c r="Q38" s="65">
        <f t="shared" si="16"/>
        <v>9519.2040888888914</v>
      </c>
      <c r="R38" s="65">
        <f t="shared" si="16"/>
        <v>9801.1795000000056</v>
      </c>
      <c r="S38" s="65">
        <f t="shared" si="16"/>
        <v>10083.15491111112</v>
      </c>
      <c r="T38" s="65">
        <f t="shared" si="16"/>
        <v>10365.130322222223</v>
      </c>
      <c r="U38" s="65">
        <f t="shared" si="16"/>
        <v>10647.105733333337</v>
      </c>
      <c r="V38" s="65">
        <f t="shared" si="16"/>
        <v>10647.105733333337</v>
      </c>
      <c r="W38" s="65">
        <f t="shared" si="16"/>
        <v>10647.105733333337</v>
      </c>
      <c r="X38" s="65">
        <f t="shared" si="16"/>
        <v>10647.105733333337</v>
      </c>
      <c r="Y38" s="65">
        <f t="shared" si="16"/>
        <v>10647.105733333337</v>
      </c>
      <c r="Z38" s="65">
        <f t="shared" si="16"/>
        <v>10647.105733333337</v>
      </c>
      <c r="AA38" s="65">
        <f t="shared" si="16"/>
        <v>10647.105733333337</v>
      </c>
      <c r="AB38" s="65">
        <f t="shared" si="16"/>
        <v>11057.154188666671</v>
      </c>
      <c r="AC38" s="65">
        <f t="shared" si="16"/>
        <v>11057.154188666671</v>
      </c>
      <c r="AD38" s="65">
        <f t="shared" si="16"/>
        <v>11057.154188666671</v>
      </c>
      <c r="AE38" s="65">
        <f t="shared" si="16"/>
        <v>11057.154188666671</v>
      </c>
      <c r="AF38" s="65">
        <f t="shared" si="16"/>
        <v>11057.154188666671</v>
      </c>
      <c r="AG38" s="65">
        <f t="shared" si="16"/>
        <v>11057.154188666671</v>
      </c>
      <c r="AH38" s="65">
        <f t="shared" si="16"/>
        <v>11057.154188666671</v>
      </c>
      <c r="AI38" s="65">
        <f t="shared" si="16"/>
        <v>11057.154188666671</v>
      </c>
      <c r="AJ38" s="65">
        <f t="shared" ref="AJ38:BO38" si="17">AJ18+AJ36</f>
        <v>11057.154188666671</v>
      </c>
      <c r="AK38" s="65">
        <f t="shared" si="17"/>
        <v>11057.154188666671</v>
      </c>
      <c r="AL38" s="65">
        <f t="shared" si="17"/>
        <v>11057.154188666671</v>
      </c>
      <c r="AM38" s="65">
        <f t="shared" si="17"/>
        <v>11057.154188666671</v>
      </c>
      <c r="AN38" s="65">
        <f t="shared" si="17"/>
        <v>11481.769979743338</v>
      </c>
      <c r="AO38" s="65">
        <f t="shared" si="17"/>
        <v>11481.769979743338</v>
      </c>
      <c r="AP38" s="65">
        <f t="shared" si="17"/>
        <v>11481.769979743338</v>
      </c>
      <c r="AQ38" s="65">
        <f t="shared" si="17"/>
        <v>11481.769979743338</v>
      </c>
      <c r="AR38" s="65">
        <f t="shared" si="17"/>
        <v>11481.769979743338</v>
      </c>
      <c r="AS38" s="65">
        <f t="shared" si="17"/>
        <v>11481.769979743338</v>
      </c>
      <c r="AT38" s="65">
        <f t="shared" si="17"/>
        <v>11481.769979743338</v>
      </c>
      <c r="AU38" s="65">
        <f t="shared" si="17"/>
        <v>11481.769979743338</v>
      </c>
      <c r="AV38" s="65">
        <f t="shared" si="17"/>
        <v>11481.769979743338</v>
      </c>
      <c r="AW38" s="65">
        <f t="shared" si="17"/>
        <v>11481.769979743338</v>
      </c>
      <c r="AX38" s="65">
        <f t="shared" si="17"/>
        <v>11481.769979743338</v>
      </c>
      <c r="AY38" s="65">
        <f t="shared" si="17"/>
        <v>11481.769979743338</v>
      </c>
      <c r="AZ38" s="65">
        <f t="shared" si="17"/>
        <v>11921.44677368772</v>
      </c>
      <c r="BA38" s="65">
        <f t="shared" si="17"/>
        <v>11921.44677368772</v>
      </c>
      <c r="BB38" s="65">
        <f t="shared" si="17"/>
        <v>11921.44677368772</v>
      </c>
      <c r="BC38" s="65">
        <f t="shared" si="17"/>
        <v>11921.44677368772</v>
      </c>
      <c r="BD38" s="65">
        <f t="shared" si="17"/>
        <v>11921.44677368772</v>
      </c>
      <c r="BE38" s="65">
        <f t="shared" si="17"/>
        <v>11921.44677368772</v>
      </c>
      <c r="BF38" s="65">
        <f t="shared" si="17"/>
        <v>11921.44677368772</v>
      </c>
      <c r="BG38" s="65">
        <f t="shared" si="17"/>
        <v>11921.44677368772</v>
      </c>
      <c r="BH38" s="65">
        <f t="shared" si="17"/>
        <v>11921.44677368772</v>
      </c>
      <c r="BI38" s="65">
        <f t="shared" si="17"/>
        <v>11921.44677368772</v>
      </c>
      <c r="BJ38" s="65">
        <f t="shared" si="17"/>
        <v>11921.44677368772</v>
      </c>
      <c r="BK38" s="65">
        <f t="shared" si="17"/>
        <v>11921.44677368772</v>
      </c>
      <c r="BL38" s="65">
        <f t="shared" si="17"/>
        <v>12376.694463814245</v>
      </c>
      <c r="BM38" s="65">
        <f t="shared" si="17"/>
        <v>12376.694463814245</v>
      </c>
      <c r="BN38" s="65">
        <f t="shared" si="17"/>
        <v>12376.694463814245</v>
      </c>
      <c r="BO38" s="65">
        <f t="shared" si="17"/>
        <v>12376.694463814245</v>
      </c>
      <c r="BP38" s="65">
        <f t="shared" ref="BP38:CU38" si="18">BP18+BP36</f>
        <v>12376.694463814245</v>
      </c>
      <c r="BQ38" s="65">
        <f t="shared" si="18"/>
        <v>12376.694463814245</v>
      </c>
      <c r="BR38" s="65">
        <f t="shared" si="18"/>
        <v>12376.694463814245</v>
      </c>
      <c r="BS38" s="65">
        <f t="shared" si="18"/>
        <v>12376.694463814245</v>
      </c>
      <c r="BT38" s="65">
        <f t="shared" si="18"/>
        <v>12376.694463814245</v>
      </c>
      <c r="BU38" s="65">
        <f t="shared" si="18"/>
        <v>12376.694463814245</v>
      </c>
      <c r="BV38" s="65">
        <f t="shared" si="18"/>
        <v>12376.694463814245</v>
      </c>
      <c r="BW38" s="65">
        <f t="shared" si="18"/>
        <v>12376.694463814245</v>
      </c>
      <c r="BX38" s="65">
        <f t="shared" si="18"/>
        <v>12848.039691817463</v>
      </c>
      <c r="BY38" s="65">
        <f t="shared" si="18"/>
        <v>12848.039691817463</v>
      </c>
      <c r="BZ38" s="65">
        <f t="shared" si="18"/>
        <v>12848.039691817463</v>
      </c>
      <c r="CA38" s="65">
        <f t="shared" si="18"/>
        <v>12848.039691817463</v>
      </c>
      <c r="CB38" s="65">
        <f t="shared" si="18"/>
        <v>12848.039691817463</v>
      </c>
      <c r="CC38" s="65">
        <f t="shared" si="18"/>
        <v>12848.039691817463</v>
      </c>
      <c r="CD38" s="65">
        <f t="shared" si="18"/>
        <v>12848.039691817463</v>
      </c>
      <c r="CE38" s="65">
        <f t="shared" si="18"/>
        <v>12848.039691817463</v>
      </c>
      <c r="CF38" s="65">
        <f t="shared" si="18"/>
        <v>12848.039691817463</v>
      </c>
      <c r="CG38" s="65">
        <f t="shared" si="18"/>
        <v>12848.039691817463</v>
      </c>
      <c r="CH38" s="65">
        <f t="shared" si="18"/>
        <v>12848.039691817463</v>
      </c>
      <c r="CI38" s="65">
        <f t="shared" si="18"/>
        <v>12848.039691817463</v>
      </c>
      <c r="CJ38" s="65">
        <f t="shared" si="18"/>
        <v>13336.026386512989</v>
      </c>
      <c r="CK38" s="65">
        <f t="shared" si="18"/>
        <v>13336.026386512989</v>
      </c>
      <c r="CL38" s="65">
        <f t="shared" si="18"/>
        <v>13336.026386512989</v>
      </c>
      <c r="CM38" s="65">
        <f t="shared" si="18"/>
        <v>13336.026386512989</v>
      </c>
      <c r="CN38" s="65">
        <f t="shared" si="18"/>
        <v>13336.026386512989</v>
      </c>
      <c r="CO38" s="65">
        <f t="shared" si="18"/>
        <v>13336.026386512989</v>
      </c>
      <c r="CP38" s="65">
        <f t="shared" si="18"/>
        <v>13336.026386512989</v>
      </c>
      <c r="CQ38" s="65">
        <f t="shared" si="18"/>
        <v>13336.026386512989</v>
      </c>
      <c r="CR38" s="65">
        <f t="shared" si="18"/>
        <v>13336.026386512989</v>
      </c>
      <c r="CS38" s="65">
        <f t="shared" si="18"/>
        <v>13336.026386512989</v>
      </c>
      <c r="CT38" s="65">
        <f t="shared" si="18"/>
        <v>13336.026386512989</v>
      </c>
      <c r="CU38" s="65">
        <f t="shared" si="18"/>
        <v>13336.026386512989</v>
      </c>
      <c r="CV38" s="65">
        <f t="shared" ref="CV38:DS38" si="19">CV18+CV36</f>
        <v>13841.216319647894</v>
      </c>
      <c r="CW38" s="65">
        <f t="shared" si="19"/>
        <v>13841.216319647894</v>
      </c>
      <c r="CX38" s="65">
        <f t="shared" si="19"/>
        <v>13841.216319647894</v>
      </c>
      <c r="CY38" s="65">
        <f t="shared" si="19"/>
        <v>13841.216319647894</v>
      </c>
      <c r="CZ38" s="65">
        <f t="shared" si="19"/>
        <v>13841.216319647894</v>
      </c>
      <c r="DA38" s="65">
        <f t="shared" si="19"/>
        <v>13841.216319647894</v>
      </c>
      <c r="DB38" s="65">
        <f t="shared" si="19"/>
        <v>13841.216319647894</v>
      </c>
      <c r="DC38" s="65">
        <f t="shared" si="19"/>
        <v>13841.216319647894</v>
      </c>
      <c r="DD38" s="65">
        <f t="shared" si="19"/>
        <v>13841.216319647894</v>
      </c>
      <c r="DE38" s="65">
        <f t="shared" si="19"/>
        <v>13841.216319647894</v>
      </c>
      <c r="DF38" s="65">
        <f t="shared" si="19"/>
        <v>13841.216319647894</v>
      </c>
      <c r="DG38" s="65">
        <f t="shared" si="19"/>
        <v>13841.216319647894</v>
      </c>
      <c r="DH38" s="65">
        <f t="shared" si="19"/>
        <v>14364.189679315343</v>
      </c>
      <c r="DI38" s="65">
        <f t="shared" si="19"/>
        <v>14364.189679315343</v>
      </c>
      <c r="DJ38" s="65">
        <f t="shared" si="19"/>
        <v>14364.189679315343</v>
      </c>
      <c r="DK38" s="65">
        <f t="shared" si="19"/>
        <v>14364.189679315343</v>
      </c>
      <c r="DL38" s="65">
        <f t="shared" si="19"/>
        <v>14364.189679315343</v>
      </c>
      <c r="DM38" s="65">
        <f t="shared" si="19"/>
        <v>14364.189679315343</v>
      </c>
      <c r="DN38" s="65">
        <f t="shared" si="19"/>
        <v>14364.189679315343</v>
      </c>
      <c r="DO38" s="65">
        <f t="shared" si="19"/>
        <v>14364.189679315343</v>
      </c>
      <c r="DP38" s="65">
        <f t="shared" si="19"/>
        <v>14364.189679315343</v>
      </c>
      <c r="DQ38" s="65">
        <f t="shared" si="19"/>
        <v>14364.189679315343</v>
      </c>
      <c r="DR38" s="65">
        <f t="shared" si="19"/>
        <v>14364.189679315343</v>
      </c>
      <c r="DS38" s="65">
        <f t="shared" si="19"/>
        <v>14364.189679315343</v>
      </c>
    </row>
    <row r="39" spans="1:123" x14ac:dyDescent="0.25">
      <c r="A39" s="1" t="s">
        <v>301</v>
      </c>
      <c r="D39" s="63">
        <f>IFERROR(D38/D18,0)</f>
        <v>0.21541097208689991</v>
      </c>
      <c r="E39" s="63">
        <f t="shared" ref="E39:AI39" si="20">IFERROR(E38/E18,0)</f>
        <v>0.22347224008284314</v>
      </c>
      <c r="F39" s="63">
        <f t="shared" si="20"/>
        <v>0.23135850231346053</v>
      </c>
      <c r="G39" s="63">
        <f t="shared" si="20"/>
        <v>0.23907539650345136</v>
      </c>
      <c r="H39" s="63">
        <f t="shared" si="20"/>
        <v>0.24662832079482019</v>
      </c>
      <c r="I39" s="63">
        <f t="shared" si="20"/>
        <v>0.25402244633982657</v>
      </c>
      <c r="J39" s="63">
        <f t="shared" si="20"/>
        <v>0.26126272910790166</v>
      </c>
      <c r="K39" s="63">
        <f t="shared" si="20"/>
        <v>0.26835392096318678</v>
      </c>
      <c r="L39" s="63">
        <f t="shared" si="20"/>
        <v>0.27530058006472408</v>
      </c>
      <c r="M39" s="63">
        <f t="shared" si="20"/>
        <v>0.2821070806371328</v>
      </c>
      <c r="N39" s="63">
        <f t="shared" si="20"/>
        <v>0.28877762215578129</v>
      </c>
      <c r="O39" s="63">
        <f t="shared" si="20"/>
        <v>0.29531623798698176</v>
      </c>
      <c r="P39" s="63">
        <f t="shared" si="20"/>
        <v>0.30472516551016587</v>
      </c>
      <c r="Q39" s="63">
        <f t="shared" si="20"/>
        <v>0.31098218097348357</v>
      </c>
      <c r="R39" s="63">
        <f t="shared" si="20"/>
        <v>0.31711901737721732</v>
      </c>
      <c r="S39" s="63">
        <f t="shared" si="20"/>
        <v>0.32313910422104569</v>
      </c>
      <c r="T39" s="63">
        <f t="shared" si="20"/>
        <v>0.32904574174591283</v>
      </c>
      <c r="U39" s="63">
        <f t="shared" si="20"/>
        <v>0.3348421069669279</v>
      </c>
      <c r="V39" s="63">
        <f t="shared" si="20"/>
        <v>0.3348421069669279</v>
      </c>
      <c r="W39" s="63">
        <f t="shared" si="20"/>
        <v>0.3348421069669279</v>
      </c>
      <c r="X39" s="63">
        <f t="shared" si="20"/>
        <v>0.3348421069669279</v>
      </c>
      <c r="Y39" s="63">
        <f t="shared" si="20"/>
        <v>0.3348421069669279</v>
      </c>
      <c r="Z39" s="63">
        <f t="shared" si="20"/>
        <v>0.3348421069669279</v>
      </c>
      <c r="AA39" s="63">
        <f t="shared" si="20"/>
        <v>0.3348421069669279</v>
      </c>
      <c r="AB39" s="63">
        <f t="shared" si="20"/>
        <v>0.33768726905031443</v>
      </c>
      <c r="AC39" s="63">
        <f t="shared" si="20"/>
        <v>0.33768726905031443</v>
      </c>
      <c r="AD39" s="63">
        <f t="shared" si="20"/>
        <v>0.33768726905031443</v>
      </c>
      <c r="AE39" s="63">
        <f t="shared" si="20"/>
        <v>0.33768726905031443</v>
      </c>
      <c r="AF39" s="63">
        <f t="shared" si="20"/>
        <v>0.33768726905031443</v>
      </c>
      <c r="AG39" s="63">
        <f t="shared" si="20"/>
        <v>0.33768726905031443</v>
      </c>
      <c r="AH39" s="63">
        <f t="shared" si="20"/>
        <v>0.33768726905031443</v>
      </c>
      <c r="AI39" s="63">
        <f t="shared" si="20"/>
        <v>0.33768726905031443</v>
      </c>
      <c r="AJ39" s="63">
        <f t="shared" ref="AJ39:BO39" si="21">IFERROR(AJ38/AJ18,0)</f>
        <v>0.33768726905031443</v>
      </c>
      <c r="AK39" s="63">
        <f t="shared" si="21"/>
        <v>0.33768726905031443</v>
      </c>
      <c r="AL39" s="63">
        <f t="shared" si="21"/>
        <v>0.33768726905031443</v>
      </c>
      <c r="AM39" s="63">
        <f t="shared" si="21"/>
        <v>0.33768726905031443</v>
      </c>
      <c r="AN39" s="63">
        <f t="shared" si="21"/>
        <v>0.34051992145700788</v>
      </c>
      <c r="AO39" s="63">
        <f t="shared" si="21"/>
        <v>0.34051992145700788</v>
      </c>
      <c r="AP39" s="63">
        <f t="shared" si="21"/>
        <v>0.34051992145700788</v>
      </c>
      <c r="AQ39" s="63">
        <f t="shared" si="21"/>
        <v>0.34051992145700788</v>
      </c>
      <c r="AR39" s="63">
        <f t="shared" si="21"/>
        <v>0.34051992145700788</v>
      </c>
      <c r="AS39" s="63">
        <f t="shared" si="21"/>
        <v>0.34051992145700788</v>
      </c>
      <c r="AT39" s="63">
        <f t="shared" si="21"/>
        <v>0.34051992145700788</v>
      </c>
      <c r="AU39" s="63">
        <f t="shared" si="21"/>
        <v>0.34051992145700788</v>
      </c>
      <c r="AV39" s="63">
        <f t="shared" si="21"/>
        <v>0.34051992145700788</v>
      </c>
      <c r="AW39" s="63">
        <f t="shared" si="21"/>
        <v>0.34051992145700788</v>
      </c>
      <c r="AX39" s="63">
        <f t="shared" si="21"/>
        <v>0.34051992145700788</v>
      </c>
      <c r="AY39" s="63">
        <f t="shared" si="21"/>
        <v>0.34051992145700788</v>
      </c>
      <c r="AZ39" s="63">
        <f t="shared" si="21"/>
        <v>0.34334011319268554</v>
      </c>
      <c r="BA39" s="63">
        <f t="shared" si="21"/>
        <v>0.34334011319268554</v>
      </c>
      <c r="BB39" s="63">
        <f t="shared" si="21"/>
        <v>0.34334011319268554</v>
      </c>
      <c r="BC39" s="63">
        <f t="shared" si="21"/>
        <v>0.34334011319268554</v>
      </c>
      <c r="BD39" s="63">
        <f t="shared" si="21"/>
        <v>0.34334011319268554</v>
      </c>
      <c r="BE39" s="63">
        <f t="shared" si="21"/>
        <v>0.34334011319268554</v>
      </c>
      <c r="BF39" s="63">
        <f t="shared" si="21"/>
        <v>0.34334011319268554</v>
      </c>
      <c r="BG39" s="63">
        <f t="shared" si="21"/>
        <v>0.34334011319268554</v>
      </c>
      <c r="BH39" s="63">
        <f t="shared" si="21"/>
        <v>0.34334011319268554</v>
      </c>
      <c r="BI39" s="63">
        <f t="shared" si="21"/>
        <v>0.34334011319268554</v>
      </c>
      <c r="BJ39" s="63">
        <f t="shared" si="21"/>
        <v>0.34334011319268554</v>
      </c>
      <c r="BK39" s="63">
        <f t="shared" si="21"/>
        <v>0.34334011319268554</v>
      </c>
      <c r="BL39" s="63">
        <f t="shared" si="21"/>
        <v>0.34614789312659572</v>
      </c>
      <c r="BM39" s="63">
        <f t="shared" si="21"/>
        <v>0.34614789312659572</v>
      </c>
      <c r="BN39" s="63">
        <f t="shared" si="21"/>
        <v>0.34614789312659572</v>
      </c>
      <c r="BO39" s="63">
        <f t="shared" si="21"/>
        <v>0.34614789312659572</v>
      </c>
      <c r="BP39" s="63">
        <f t="shared" ref="BP39:CU39" si="22">IFERROR(BP38/BP18,0)</f>
        <v>0.34614789312659572</v>
      </c>
      <c r="BQ39" s="63">
        <f t="shared" si="22"/>
        <v>0.34614789312659572</v>
      </c>
      <c r="BR39" s="63">
        <f t="shared" si="22"/>
        <v>0.34614789312659572</v>
      </c>
      <c r="BS39" s="63">
        <f t="shared" si="22"/>
        <v>0.34614789312659572</v>
      </c>
      <c r="BT39" s="63">
        <f t="shared" si="22"/>
        <v>0.34614789312659572</v>
      </c>
      <c r="BU39" s="63">
        <f t="shared" si="22"/>
        <v>0.34614789312659572</v>
      </c>
      <c r="BV39" s="63">
        <f t="shared" si="22"/>
        <v>0.34614789312659572</v>
      </c>
      <c r="BW39" s="63">
        <f t="shared" si="22"/>
        <v>0.34614789312659572</v>
      </c>
      <c r="BX39" s="63">
        <f t="shared" si="22"/>
        <v>0.34894330999139689</v>
      </c>
      <c r="BY39" s="63">
        <f t="shared" si="22"/>
        <v>0.34894330999139689</v>
      </c>
      <c r="BZ39" s="63">
        <f t="shared" si="22"/>
        <v>0.34894330999139689</v>
      </c>
      <c r="CA39" s="63">
        <f t="shared" si="22"/>
        <v>0.34894330999139689</v>
      </c>
      <c r="CB39" s="63">
        <f t="shared" si="22"/>
        <v>0.34894330999139689</v>
      </c>
      <c r="CC39" s="63">
        <f t="shared" si="22"/>
        <v>0.34894330999139689</v>
      </c>
      <c r="CD39" s="63">
        <f t="shared" si="22"/>
        <v>0.34894330999139689</v>
      </c>
      <c r="CE39" s="63">
        <f t="shared" si="22"/>
        <v>0.34894330999139689</v>
      </c>
      <c r="CF39" s="63">
        <f t="shared" si="22"/>
        <v>0.34894330999139689</v>
      </c>
      <c r="CG39" s="63">
        <f t="shared" si="22"/>
        <v>0.34894330999139689</v>
      </c>
      <c r="CH39" s="63">
        <f t="shared" si="22"/>
        <v>0.34894330999139689</v>
      </c>
      <c r="CI39" s="63">
        <f t="shared" si="22"/>
        <v>0.34894330999139689</v>
      </c>
      <c r="CJ39" s="63">
        <f t="shared" si="22"/>
        <v>0.35172641238300478</v>
      </c>
      <c r="CK39" s="63">
        <f t="shared" si="22"/>
        <v>0.35172641238300478</v>
      </c>
      <c r="CL39" s="63">
        <f t="shared" si="22"/>
        <v>0.35172641238300478</v>
      </c>
      <c r="CM39" s="63">
        <f t="shared" si="22"/>
        <v>0.35172641238300478</v>
      </c>
      <c r="CN39" s="63">
        <f t="shared" si="22"/>
        <v>0.35172641238300478</v>
      </c>
      <c r="CO39" s="63">
        <f t="shared" si="22"/>
        <v>0.35172641238300478</v>
      </c>
      <c r="CP39" s="63">
        <f t="shared" si="22"/>
        <v>0.35172641238300478</v>
      </c>
      <c r="CQ39" s="63">
        <f t="shared" si="22"/>
        <v>0.35172641238300478</v>
      </c>
      <c r="CR39" s="63">
        <f t="shared" si="22"/>
        <v>0.35172641238300478</v>
      </c>
      <c r="CS39" s="63">
        <f t="shared" si="22"/>
        <v>0.35172641238300478</v>
      </c>
      <c r="CT39" s="63">
        <f t="shared" si="22"/>
        <v>0.35172641238300478</v>
      </c>
      <c r="CU39" s="63">
        <f t="shared" si="22"/>
        <v>0.35172641238300478</v>
      </c>
      <c r="CV39" s="63">
        <f t="shared" ref="CV39:DS39" si="23">IFERROR(CV38/CV18,0)</f>
        <v>0.3544972487604453</v>
      </c>
      <c r="CW39" s="63">
        <f t="shared" si="23"/>
        <v>0.3544972487604453</v>
      </c>
      <c r="CX39" s="63">
        <f t="shared" si="23"/>
        <v>0.3544972487604453</v>
      </c>
      <c r="CY39" s="63">
        <f t="shared" si="23"/>
        <v>0.3544972487604453</v>
      </c>
      <c r="CZ39" s="63">
        <f t="shared" si="23"/>
        <v>0.3544972487604453</v>
      </c>
      <c r="DA39" s="63">
        <f t="shared" si="23"/>
        <v>0.3544972487604453</v>
      </c>
      <c r="DB39" s="63">
        <f t="shared" si="23"/>
        <v>0.3544972487604453</v>
      </c>
      <c r="DC39" s="63">
        <f t="shared" si="23"/>
        <v>0.3544972487604453</v>
      </c>
      <c r="DD39" s="63">
        <f t="shared" si="23"/>
        <v>0.3544972487604453</v>
      </c>
      <c r="DE39" s="63">
        <f t="shared" si="23"/>
        <v>0.3544972487604453</v>
      </c>
      <c r="DF39" s="63">
        <f t="shared" si="23"/>
        <v>0.3544972487604453</v>
      </c>
      <c r="DG39" s="63">
        <f t="shared" si="23"/>
        <v>0.3544972487604453</v>
      </c>
      <c r="DH39" s="63">
        <f t="shared" si="23"/>
        <v>0.35725586744571441</v>
      </c>
      <c r="DI39" s="63">
        <f t="shared" si="23"/>
        <v>0.35725586744571441</v>
      </c>
      <c r="DJ39" s="63">
        <f t="shared" si="23"/>
        <v>0.35725586744571441</v>
      </c>
      <c r="DK39" s="63">
        <f t="shared" si="23"/>
        <v>0.35725586744571441</v>
      </c>
      <c r="DL39" s="63">
        <f t="shared" si="23"/>
        <v>0.35725586744571441</v>
      </c>
      <c r="DM39" s="63">
        <f t="shared" si="23"/>
        <v>0.35725586744571441</v>
      </c>
      <c r="DN39" s="63">
        <f t="shared" si="23"/>
        <v>0.35725586744571441</v>
      </c>
      <c r="DO39" s="63">
        <f t="shared" si="23"/>
        <v>0.35725586744571441</v>
      </c>
      <c r="DP39" s="63">
        <f t="shared" si="23"/>
        <v>0.35725586744571441</v>
      </c>
      <c r="DQ39" s="63">
        <f t="shared" si="23"/>
        <v>0.35725586744571441</v>
      </c>
      <c r="DR39" s="63">
        <f t="shared" si="23"/>
        <v>0.35725586744571441</v>
      </c>
      <c r="DS39" s="63">
        <f t="shared" si="23"/>
        <v>0.35725586744571441</v>
      </c>
    </row>
    <row r="41" spans="1:123" x14ac:dyDescent="0.25">
      <c r="A41" s="1" t="s">
        <v>302</v>
      </c>
      <c r="D41" s="64">
        <f>-Assumptions!$B$49/12*Assumptions!$B$16*(1+Assumptions!$B$11)^(D5-1)</f>
        <v>-333.33333333333337</v>
      </c>
      <c r="E41" s="64">
        <f>-Assumptions!$B$49/12*Assumptions!$B$16*(1+Assumptions!$B$11)^(E5-1)</f>
        <v>-333.33333333333337</v>
      </c>
      <c r="F41" s="64">
        <f>-Assumptions!$B$49/12*Assumptions!$B$16*(1+Assumptions!$B$11)^(F5-1)</f>
        <v>-333.33333333333337</v>
      </c>
      <c r="G41" s="64">
        <f>-Assumptions!$B$49/12*Assumptions!$B$16*(1+Assumptions!$B$11)^(G5-1)</f>
        <v>-333.33333333333337</v>
      </c>
      <c r="H41" s="64">
        <f>-Assumptions!$B$49/12*Assumptions!$B$16*(1+Assumptions!$B$11)^(H5-1)</f>
        <v>-333.33333333333337</v>
      </c>
      <c r="I41" s="64">
        <f>-Assumptions!$B$49/12*Assumptions!$B$16*(1+Assumptions!$B$11)^(I5-1)</f>
        <v>-333.33333333333337</v>
      </c>
      <c r="J41" s="64">
        <f>-Assumptions!$B$49/12*Assumptions!$B$16*(1+Assumptions!$B$11)^(J5-1)</f>
        <v>-333.33333333333337</v>
      </c>
      <c r="K41" s="64">
        <f>-Assumptions!$B$49/12*Assumptions!$B$16*(1+Assumptions!$B$11)^(K5-1)</f>
        <v>-333.33333333333337</v>
      </c>
      <c r="L41" s="64">
        <f>-Assumptions!$B$49/12*Assumptions!$B$16*(1+Assumptions!$B$11)^(L5-1)</f>
        <v>-333.33333333333337</v>
      </c>
      <c r="M41" s="64">
        <f>-Assumptions!$B$49/12*Assumptions!$B$16*(1+Assumptions!$B$11)^(M5-1)</f>
        <v>-333.33333333333337</v>
      </c>
      <c r="N41" s="64">
        <f>-Assumptions!$B$49/12*Assumptions!$B$16*(1+Assumptions!$B$11)^(N5-1)</f>
        <v>-333.33333333333337</v>
      </c>
      <c r="O41" s="64">
        <f>-Assumptions!$B$49/12*Assumptions!$B$16*(1+Assumptions!$B$11)^(O5-1)</f>
        <v>-333.33333333333337</v>
      </c>
      <c r="P41" s="64">
        <f>-Assumptions!$B$49/12*Assumptions!$B$16*(1+Assumptions!$B$11)^(P5-1)</f>
        <v>-341.66666666666669</v>
      </c>
      <c r="Q41" s="64">
        <f>-Assumptions!$B$49/12*Assumptions!$B$16*(1+Assumptions!$B$11)^(Q5-1)</f>
        <v>-341.66666666666669</v>
      </c>
      <c r="R41" s="64">
        <f>-Assumptions!$B$49/12*Assumptions!$B$16*(1+Assumptions!$B$11)^(R5-1)</f>
        <v>-341.66666666666669</v>
      </c>
      <c r="S41" s="64">
        <f>-Assumptions!$B$49/12*Assumptions!$B$16*(1+Assumptions!$B$11)^(S5-1)</f>
        <v>-341.66666666666669</v>
      </c>
      <c r="T41" s="64">
        <f>-Assumptions!$B$49/12*Assumptions!$B$16*(1+Assumptions!$B$11)^(T5-1)</f>
        <v>-341.66666666666669</v>
      </c>
      <c r="U41" s="64">
        <f>-Assumptions!$B$49/12*Assumptions!$B$16*(1+Assumptions!$B$11)^(U5-1)</f>
        <v>-341.66666666666669</v>
      </c>
      <c r="V41" s="64">
        <f>-Assumptions!$B$49/12*Assumptions!$B$16*(1+Assumptions!$B$11)^(V5-1)</f>
        <v>-341.66666666666669</v>
      </c>
      <c r="W41" s="64">
        <f>-Assumptions!$B$49/12*Assumptions!$B$16*(1+Assumptions!$B$11)^(W5-1)</f>
        <v>-341.66666666666669</v>
      </c>
      <c r="X41" s="64">
        <f>-Assumptions!$B$49/12*Assumptions!$B$16*(1+Assumptions!$B$11)^(X5-1)</f>
        <v>-341.66666666666669</v>
      </c>
      <c r="Y41" s="64">
        <f>-Assumptions!$B$49/12*Assumptions!$B$16*(1+Assumptions!$B$11)^(Y5-1)</f>
        <v>-341.66666666666669</v>
      </c>
      <c r="Z41" s="64">
        <f>-Assumptions!$B$49/12*Assumptions!$B$16*(1+Assumptions!$B$11)^(Z5-1)</f>
        <v>-341.66666666666669</v>
      </c>
      <c r="AA41" s="64">
        <f>-Assumptions!$B$49/12*Assumptions!$B$16*(1+Assumptions!$B$11)^(AA5-1)</f>
        <v>-341.66666666666669</v>
      </c>
      <c r="AB41" s="64">
        <f>-Assumptions!$B$49/12*Assumptions!$B$16*(1+Assumptions!$B$11)^(AB5-1)</f>
        <v>-350.20833333333337</v>
      </c>
      <c r="AC41" s="64">
        <f>-Assumptions!$B$49/12*Assumptions!$B$16*(1+Assumptions!$B$11)^(AC5-1)</f>
        <v>-350.20833333333337</v>
      </c>
      <c r="AD41" s="64">
        <f>-Assumptions!$B$49/12*Assumptions!$B$16*(1+Assumptions!$B$11)^(AD5-1)</f>
        <v>-350.20833333333337</v>
      </c>
      <c r="AE41" s="64">
        <f>-Assumptions!$B$49/12*Assumptions!$B$16*(1+Assumptions!$B$11)^(AE5-1)</f>
        <v>-350.20833333333337</v>
      </c>
      <c r="AF41" s="64">
        <f>-Assumptions!$B$49/12*Assumptions!$B$16*(1+Assumptions!$B$11)^(AF5-1)</f>
        <v>-350.20833333333337</v>
      </c>
      <c r="AG41" s="64">
        <f>-Assumptions!$B$49/12*Assumptions!$B$16*(1+Assumptions!$B$11)^(AG5-1)</f>
        <v>-350.20833333333337</v>
      </c>
      <c r="AH41" s="64">
        <f>-Assumptions!$B$49/12*Assumptions!$B$16*(1+Assumptions!$B$11)^(AH5-1)</f>
        <v>-350.20833333333337</v>
      </c>
      <c r="AI41" s="64">
        <f>-Assumptions!$B$49/12*Assumptions!$B$16*(1+Assumptions!$B$11)^(AI5-1)</f>
        <v>-350.20833333333337</v>
      </c>
      <c r="AJ41" s="64">
        <f>-Assumptions!$B$49/12*Assumptions!$B$16*(1+Assumptions!$B$11)^(AJ5-1)</f>
        <v>-350.20833333333337</v>
      </c>
      <c r="AK41" s="64">
        <f>-Assumptions!$B$49/12*Assumptions!$B$16*(1+Assumptions!$B$11)^(AK5-1)</f>
        <v>-350.20833333333337</v>
      </c>
      <c r="AL41" s="64">
        <f>-Assumptions!$B$49/12*Assumptions!$B$16*(1+Assumptions!$B$11)^(AL5-1)</f>
        <v>-350.20833333333337</v>
      </c>
      <c r="AM41" s="64">
        <f>-Assumptions!$B$49/12*Assumptions!$B$16*(1+Assumptions!$B$11)^(AM5-1)</f>
        <v>-350.20833333333337</v>
      </c>
      <c r="AN41" s="64">
        <f>-Assumptions!$B$49/12*Assumptions!$B$16*(1+Assumptions!$B$11)^(AN5-1)</f>
        <v>-358.96354166666669</v>
      </c>
      <c r="AO41" s="64">
        <f>-Assumptions!$B$49/12*Assumptions!$B$16*(1+Assumptions!$B$11)^(AO5-1)</f>
        <v>-358.96354166666669</v>
      </c>
      <c r="AP41" s="64">
        <f>-Assumptions!$B$49/12*Assumptions!$B$16*(1+Assumptions!$B$11)^(AP5-1)</f>
        <v>-358.96354166666669</v>
      </c>
      <c r="AQ41" s="64">
        <f>-Assumptions!$B$49/12*Assumptions!$B$16*(1+Assumptions!$B$11)^(AQ5-1)</f>
        <v>-358.96354166666669</v>
      </c>
      <c r="AR41" s="64">
        <f>-Assumptions!$B$49/12*Assumptions!$B$16*(1+Assumptions!$B$11)^(AR5-1)</f>
        <v>-358.96354166666669</v>
      </c>
      <c r="AS41" s="64">
        <f>-Assumptions!$B$49/12*Assumptions!$B$16*(1+Assumptions!$B$11)^(AS5-1)</f>
        <v>-358.96354166666669</v>
      </c>
      <c r="AT41" s="64">
        <f>-Assumptions!$B$49/12*Assumptions!$B$16*(1+Assumptions!$B$11)^(AT5-1)</f>
        <v>-358.96354166666669</v>
      </c>
      <c r="AU41" s="64">
        <f>-Assumptions!$B$49/12*Assumptions!$B$16*(1+Assumptions!$B$11)^(AU5-1)</f>
        <v>-358.96354166666669</v>
      </c>
      <c r="AV41" s="64">
        <f>-Assumptions!$B$49/12*Assumptions!$B$16*(1+Assumptions!$B$11)^(AV5-1)</f>
        <v>-358.96354166666669</v>
      </c>
      <c r="AW41" s="64">
        <f>-Assumptions!$B$49/12*Assumptions!$B$16*(1+Assumptions!$B$11)^(AW5-1)</f>
        <v>-358.96354166666669</v>
      </c>
      <c r="AX41" s="64">
        <f>-Assumptions!$B$49/12*Assumptions!$B$16*(1+Assumptions!$B$11)^(AX5-1)</f>
        <v>-358.96354166666669</v>
      </c>
      <c r="AY41" s="64">
        <f>-Assumptions!$B$49/12*Assumptions!$B$16*(1+Assumptions!$B$11)^(AY5-1)</f>
        <v>-358.96354166666669</v>
      </c>
      <c r="AZ41" s="64">
        <f>-Assumptions!$B$49/12*Assumptions!$B$16*(1+Assumptions!$B$11)^(AZ5-1)</f>
        <v>-367.9376302083333</v>
      </c>
      <c r="BA41" s="64">
        <f>-Assumptions!$B$49/12*Assumptions!$B$16*(1+Assumptions!$B$11)^(BA5-1)</f>
        <v>-367.9376302083333</v>
      </c>
      <c r="BB41" s="64">
        <f>-Assumptions!$B$49/12*Assumptions!$B$16*(1+Assumptions!$B$11)^(BB5-1)</f>
        <v>-367.9376302083333</v>
      </c>
      <c r="BC41" s="64">
        <f>-Assumptions!$B$49/12*Assumptions!$B$16*(1+Assumptions!$B$11)^(BC5-1)</f>
        <v>-367.9376302083333</v>
      </c>
      <c r="BD41" s="64">
        <f>-Assumptions!$B$49/12*Assumptions!$B$16*(1+Assumptions!$B$11)^(BD5-1)</f>
        <v>-367.9376302083333</v>
      </c>
      <c r="BE41" s="64">
        <f>-Assumptions!$B$49/12*Assumptions!$B$16*(1+Assumptions!$B$11)^(BE5-1)</f>
        <v>-367.9376302083333</v>
      </c>
      <c r="BF41" s="64">
        <f>-Assumptions!$B$49/12*Assumptions!$B$16*(1+Assumptions!$B$11)^(BF5-1)</f>
        <v>-367.9376302083333</v>
      </c>
      <c r="BG41" s="64">
        <f>-Assumptions!$B$49/12*Assumptions!$B$16*(1+Assumptions!$B$11)^(BG5-1)</f>
        <v>-367.9376302083333</v>
      </c>
      <c r="BH41" s="64">
        <f>-Assumptions!$B$49/12*Assumptions!$B$16*(1+Assumptions!$B$11)^(BH5-1)</f>
        <v>-367.9376302083333</v>
      </c>
      <c r="BI41" s="64">
        <f>-Assumptions!$B$49/12*Assumptions!$B$16*(1+Assumptions!$B$11)^(BI5-1)</f>
        <v>-367.9376302083333</v>
      </c>
      <c r="BJ41" s="64">
        <f>-Assumptions!$B$49/12*Assumptions!$B$16*(1+Assumptions!$B$11)^(BJ5-1)</f>
        <v>-367.9376302083333</v>
      </c>
      <c r="BK41" s="64">
        <f>-Assumptions!$B$49/12*Assumptions!$B$16*(1+Assumptions!$B$11)^(BK5-1)</f>
        <v>-367.9376302083333</v>
      </c>
      <c r="BL41" s="64">
        <f>-Assumptions!$B$49/12*Assumptions!$B$16*(1+Assumptions!$B$11)^(BL5-1)</f>
        <v>-377.13607096354161</v>
      </c>
      <c r="BM41" s="64">
        <f>-Assumptions!$B$49/12*Assumptions!$B$16*(1+Assumptions!$B$11)^(BM5-1)</f>
        <v>-377.13607096354161</v>
      </c>
      <c r="BN41" s="64">
        <f>-Assumptions!$B$49/12*Assumptions!$B$16*(1+Assumptions!$B$11)^(BN5-1)</f>
        <v>-377.13607096354161</v>
      </c>
      <c r="BO41" s="64">
        <f>-Assumptions!$B$49/12*Assumptions!$B$16*(1+Assumptions!$B$11)^(BO5-1)</f>
        <v>-377.13607096354161</v>
      </c>
      <c r="BP41" s="64">
        <f>-Assumptions!$B$49/12*Assumptions!$B$16*(1+Assumptions!$B$11)^(BP5-1)</f>
        <v>-377.13607096354161</v>
      </c>
      <c r="BQ41" s="64">
        <f>-Assumptions!$B$49/12*Assumptions!$B$16*(1+Assumptions!$B$11)^(BQ5-1)</f>
        <v>-377.13607096354161</v>
      </c>
      <c r="BR41" s="64">
        <f>-Assumptions!$B$49/12*Assumptions!$B$16*(1+Assumptions!$B$11)^(BR5-1)</f>
        <v>-377.13607096354161</v>
      </c>
      <c r="BS41" s="64">
        <f>-Assumptions!$B$49/12*Assumptions!$B$16*(1+Assumptions!$B$11)^(BS5-1)</f>
        <v>-377.13607096354161</v>
      </c>
      <c r="BT41" s="64">
        <f>-Assumptions!$B$49/12*Assumptions!$B$16*(1+Assumptions!$B$11)^(BT5-1)</f>
        <v>-377.13607096354161</v>
      </c>
      <c r="BU41" s="64">
        <f>-Assumptions!$B$49/12*Assumptions!$B$16*(1+Assumptions!$B$11)^(BU5-1)</f>
        <v>-377.13607096354161</v>
      </c>
      <c r="BV41" s="64">
        <f>-Assumptions!$B$49/12*Assumptions!$B$16*(1+Assumptions!$B$11)^(BV5-1)</f>
        <v>-377.13607096354161</v>
      </c>
      <c r="BW41" s="64">
        <f>-Assumptions!$B$49/12*Assumptions!$B$16*(1+Assumptions!$B$11)^(BW5-1)</f>
        <v>-377.13607096354161</v>
      </c>
      <c r="BX41" s="64">
        <f>-Assumptions!$B$49/12*Assumptions!$B$16*(1+Assumptions!$B$11)^(BX5-1)</f>
        <v>-386.56447273763013</v>
      </c>
      <c r="BY41" s="64">
        <f>-Assumptions!$B$49/12*Assumptions!$B$16*(1+Assumptions!$B$11)^(BY5-1)</f>
        <v>-386.56447273763013</v>
      </c>
      <c r="BZ41" s="64">
        <f>-Assumptions!$B$49/12*Assumptions!$B$16*(1+Assumptions!$B$11)^(BZ5-1)</f>
        <v>-386.56447273763013</v>
      </c>
      <c r="CA41" s="64">
        <f>-Assumptions!$B$49/12*Assumptions!$B$16*(1+Assumptions!$B$11)^(CA5-1)</f>
        <v>-386.56447273763013</v>
      </c>
      <c r="CB41" s="64">
        <f>-Assumptions!$B$49/12*Assumptions!$B$16*(1+Assumptions!$B$11)^(CB5-1)</f>
        <v>-386.56447273763013</v>
      </c>
      <c r="CC41" s="64">
        <f>-Assumptions!$B$49/12*Assumptions!$B$16*(1+Assumptions!$B$11)^(CC5-1)</f>
        <v>-386.56447273763013</v>
      </c>
      <c r="CD41" s="64">
        <f>-Assumptions!$B$49/12*Assumptions!$B$16*(1+Assumptions!$B$11)^(CD5-1)</f>
        <v>-386.56447273763013</v>
      </c>
      <c r="CE41" s="64">
        <f>-Assumptions!$B$49/12*Assumptions!$B$16*(1+Assumptions!$B$11)^(CE5-1)</f>
        <v>-386.56447273763013</v>
      </c>
      <c r="CF41" s="64">
        <f>-Assumptions!$B$49/12*Assumptions!$B$16*(1+Assumptions!$B$11)^(CF5-1)</f>
        <v>-386.56447273763013</v>
      </c>
      <c r="CG41" s="64">
        <f>-Assumptions!$B$49/12*Assumptions!$B$16*(1+Assumptions!$B$11)^(CG5-1)</f>
        <v>-386.56447273763013</v>
      </c>
      <c r="CH41" s="64">
        <f>-Assumptions!$B$49/12*Assumptions!$B$16*(1+Assumptions!$B$11)^(CH5-1)</f>
        <v>-386.56447273763013</v>
      </c>
      <c r="CI41" s="64">
        <f>-Assumptions!$B$49/12*Assumptions!$B$16*(1+Assumptions!$B$11)^(CI5-1)</f>
        <v>-386.56447273763013</v>
      </c>
      <c r="CJ41" s="64">
        <f>-Assumptions!$B$49/12*Assumptions!$B$16*(1+Assumptions!$B$11)^(CJ5-1)</f>
        <v>-396.22858455607087</v>
      </c>
      <c r="CK41" s="64">
        <f>-Assumptions!$B$49/12*Assumptions!$B$16*(1+Assumptions!$B$11)^(CK5-1)</f>
        <v>-396.22858455607087</v>
      </c>
      <c r="CL41" s="64">
        <f>-Assumptions!$B$49/12*Assumptions!$B$16*(1+Assumptions!$B$11)^(CL5-1)</f>
        <v>-396.22858455607087</v>
      </c>
      <c r="CM41" s="64">
        <f>-Assumptions!$B$49/12*Assumptions!$B$16*(1+Assumptions!$B$11)^(CM5-1)</f>
        <v>-396.22858455607087</v>
      </c>
      <c r="CN41" s="64">
        <f>-Assumptions!$B$49/12*Assumptions!$B$16*(1+Assumptions!$B$11)^(CN5-1)</f>
        <v>-396.22858455607087</v>
      </c>
      <c r="CO41" s="64">
        <f>-Assumptions!$B$49/12*Assumptions!$B$16*(1+Assumptions!$B$11)^(CO5-1)</f>
        <v>-396.22858455607087</v>
      </c>
      <c r="CP41" s="64">
        <f>-Assumptions!$B$49/12*Assumptions!$B$16*(1+Assumptions!$B$11)^(CP5-1)</f>
        <v>-396.22858455607087</v>
      </c>
      <c r="CQ41" s="64">
        <f>-Assumptions!$B$49/12*Assumptions!$B$16*(1+Assumptions!$B$11)^(CQ5-1)</f>
        <v>-396.22858455607087</v>
      </c>
      <c r="CR41" s="64">
        <f>-Assumptions!$B$49/12*Assumptions!$B$16*(1+Assumptions!$B$11)^(CR5-1)</f>
        <v>-396.22858455607087</v>
      </c>
      <c r="CS41" s="64">
        <f>-Assumptions!$B$49/12*Assumptions!$B$16*(1+Assumptions!$B$11)^(CS5-1)</f>
        <v>-396.22858455607087</v>
      </c>
      <c r="CT41" s="64">
        <f>-Assumptions!$B$49/12*Assumptions!$B$16*(1+Assumptions!$B$11)^(CT5-1)</f>
        <v>-396.22858455607087</v>
      </c>
      <c r="CU41" s="64">
        <f>-Assumptions!$B$49/12*Assumptions!$B$16*(1+Assumptions!$B$11)^(CU5-1)</f>
        <v>-396.22858455607087</v>
      </c>
      <c r="CV41" s="64">
        <f>-Assumptions!$B$49/12*Assumptions!$B$16*(1+Assumptions!$B$11)^(CV5-1)</f>
        <v>-406.13429916997262</v>
      </c>
      <c r="CW41" s="64">
        <f>-Assumptions!$B$49/12*Assumptions!$B$16*(1+Assumptions!$B$11)^(CW5-1)</f>
        <v>-406.13429916997262</v>
      </c>
      <c r="CX41" s="64">
        <f>-Assumptions!$B$49/12*Assumptions!$B$16*(1+Assumptions!$B$11)^(CX5-1)</f>
        <v>-406.13429916997262</v>
      </c>
      <c r="CY41" s="64">
        <f>-Assumptions!$B$49/12*Assumptions!$B$16*(1+Assumptions!$B$11)^(CY5-1)</f>
        <v>-406.13429916997262</v>
      </c>
      <c r="CZ41" s="64">
        <f>-Assumptions!$B$49/12*Assumptions!$B$16*(1+Assumptions!$B$11)^(CZ5-1)</f>
        <v>-406.13429916997262</v>
      </c>
      <c r="DA41" s="64">
        <f>-Assumptions!$B$49/12*Assumptions!$B$16*(1+Assumptions!$B$11)^(DA5-1)</f>
        <v>-406.13429916997262</v>
      </c>
      <c r="DB41" s="64">
        <f>-Assumptions!$B$49/12*Assumptions!$B$16*(1+Assumptions!$B$11)^(DB5-1)</f>
        <v>-406.13429916997262</v>
      </c>
      <c r="DC41" s="64">
        <f>-Assumptions!$B$49/12*Assumptions!$B$16*(1+Assumptions!$B$11)^(DC5-1)</f>
        <v>-406.13429916997262</v>
      </c>
      <c r="DD41" s="64">
        <f>-Assumptions!$B$49/12*Assumptions!$B$16*(1+Assumptions!$B$11)^(DD5-1)</f>
        <v>-406.13429916997262</v>
      </c>
      <c r="DE41" s="64">
        <f>-Assumptions!$B$49/12*Assumptions!$B$16*(1+Assumptions!$B$11)^(DE5-1)</f>
        <v>-406.13429916997262</v>
      </c>
      <c r="DF41" s="64">
        <f>-Assumptions!$B$49/12*Assumptions!$B$16*(1+Assumptions!$B$11)^(DF5-1)</f>
        <v>-406.13429916997262</v>
      </c>
      <c r="DG41" s="64">
        <f>-Assumptions!$B$49/12*Assumptions!$B$16*(1+Assumptions!$B$11)^(DG5-1)</f>
        <v>-406.13429916997262</v>
      </c>
      <c r="DH41" s="64">
        <f>-Assumptions!$B$49/12*Assumptions!$B$16*(1+Assumptions!$B$11)^(DH5-1)</f>
        <v>-416.28765664922184</v>
      </c>
      <c r="DI41" s="64">
        <f>-Assumptions!$B$49/12*Assumptions!$B$16*(1+Assumptions!$B$11)^(DI5-1)</f>
        <v>-416.28765664922184</v>
      </c>
      <c r="DJ41" s="64">
        <f>-Assumptions!$B$49/12*Assumptions!$B$16*(1+Assumptions!$B$11)^(DJ5-1)</f>
        <v>-416.28765664922184</v>
      </c>
      <c r="DK41" s="64">
        <f>-Assumptions!$B$49/12*Assumptions!$B$16*(1+Assumptions!$B$11)^(DK5-1)</f>
        <v>-416.28765664922184</v>
      </c>
      <c r="DL41" s="64">
        <f>-Assumptions!$B$49/12*Assumptions!$B$16*(1+Assumptions!$B$11)^(DL5-1)</f>
        <v>-416.28765664922184</v>
      </c>
      <c r="DM41" s="64">
        <f>-Assumptions!$B$49/12*Assumptions!$B$16*(1+Assumptions!$B$11)^(DM5-1)</f>
        <v>-416.28765664922184</v>
      </c>
      <c r="DN41" s="64">
        <f>-Assumptions!$B$49/12*Assumptions!$B$16*(1+Assumptions!$B$11)^(DN5-1)</f>
        <v>-416.28765664922184</v>
      </c>
      <c r="DO41" s="64">
        <f>-Assumptions!$B$49/12*Assumptions!$B$16*(1+Assumptions!$B$11)^(DO5-1)</f>
        <v>-416.28765664922184</v>
      </c>
      <c r="DP41" s="64">
        <f>-Assumptions!$B$49/12*Assumptions!$B$16*(1+Assumptions!$B$11)^(DP5-1)</f>
        <v>-416.28765664922184</v>
      </c>
      <c r="DQ41" s="64">
        <f>-Assumptions!$B$49/12*Assumptions!$B$16*(1+Assumptions!$B$11)^(DQ5-1)</f>
        <v>-416.28765664922184</v>
      </c>
      <c r="DR41" s="64">
        <f>-Assumptions!$B$49/12*Assumptions!$B$16*(1+Assumptions!$B$11)^(DR5-1)</f>
        <v>-416.28765664922184</v>
      </c>
      <c r="DS41" s="64">
        <f>-Assumptions!$B$49/12*Assumptions!$B$16*(1+Assumptions!$B$11)^(DS5-1)</f>
        <v>-416.28765664922184</v>
      </c>
    </row>
    <row r="42" spans="1:123" x14ac:dyDescent="0.25">
      <c r="A42" s="52" t="s">
        <v>303</v>
      </c>
      <c r="D42" s="65">
        <f t="shared" ref="D42:AI42" si="24">D38+D41</f>
        <v>5262.6655555555508</v>
      </c>
      <c r="E42" s="65">
        <f t="shared" si="24"/>
        <v>5536.4977777777776</v>
      </c>
      <c r="F42" s="65">
        <f t="shared" si="24"/>
        <v>5810.3299999999936</v>
      </c>
      <c r="G42" s="65">
        <f t="shared" si="24"/>
        <v>6084.162222222224</v>
      </c>
      <c r="H42" s="65">
        <f t="shared" si="24"/>
        <v>6357.9944444444436</v>
      </c>
      <c r="I42" s="65">
        <f t="shared" si="24"/>
        <v>6631.8266666666632</v>
      </c>
      <c r="J42" s="65">
        <f t="shared" si="24"/>
        <v>6905.6588888888864</v>
      </c>
      <c r="K42" s="65">
        <f t="shared" si="24"/>
        <v>7179.4911111111132</v>
      </c>
      <c r="L42" s="65">
        <f t="shared" si="24"/>
        <v>7453.3233333333364</v>
      </c>
      <c r="M42" s="65">
        <f t="shared" si="24"/>
        <v>7727.1555555555524</v>
      </c>
      <c r="N42" s="65">
        <f t="shared" si="24"/>
        <v>8000.9877777777792</v>
      </c>
      <c r="O42" s="65">
        <f t="shared" si="24"/>
        <v>8274.8199999999979</v>
      </c>
      <c r="P42" s="65">
        <f t="shared" si="24"/>
        <v>8895.5620111111148</v>
      </c>
      <c r="Q42" s="65">
        <f t="shared" si="24"/>
        <v>9177.5374222222254</v>
      </c>
      <c r="R42" s="65">
        <f t="shared" si="24"/>
        <v>9459.5128333333396</v>
      </c>
      <c r="S42" s="65">
        <f t="shared" si="24"/>
        <v>9741.4882444444538</v>
      </c>
      <c r="T42" s="65">
        <f t="shared" si="24"/>
        <v>10023.463655555557</v>
      </c>
      <c r="U42" s="65">
        <f t="shared" si="24"/>
        <v>10305.439066666671</v>
      </c>
      <c r="V42" s="65">
        <f t="shared" si="24"/>
        <v>10305.439066666671</v>
      </c>
      <c r="W42" s="65">
        <f t="shared" si="24"/>
        <v>10305.439066666671</v>
      </c>
      <c r="X42" s="65">
        <f t="shared" si="24"/>
        <v>10305.439066666671</v>
      </c>
      <c r="Y42" s="65">
        <f t="shared" si="24"/>
        <v>10305.439066666671</v>
      </c>
      <c r="Z42" s="65">
        <f t="shared" si="24"/>
        <v>10305.439066666671</v>
      </c>
      <c r="AA42" s="65">
        <f t="shared" si="24"/>
        <v>10305.439066666671</v>
      </c>
      <c r="AB42" s="65">
        <f t="shared" si="24"/>
        <v>10706.945855333337</v>
      </c>
      <c r="AC42" s="65">
        <f t="shared" si="24"/>
        <v>10706.945855333337</v>
      </c>
      <c r="AD42" s="65">
        <f t="shared" si="24"/>
        <v>10706.945855333337</v>
      </c>
      <c r="AE42" s="65">
        <f t="shared" si="24"/>
        <v>10706.945855333337</v>
      </c>
      <c r="AF42" s="65">
        <f t="shared" si="24"/>
        <v>10706.945855333337</v>
      </c>
      <c r="AG42" s="65">
        <f t="shared" si="24"/>
        <v>10706.945855333337</v>
      </c>
      <c r="AH42" s="65">
        <f t="shared" si="24"/>
        <v>10706.945855333337</v>
      </c>
      <c r="AI42" s="65">
        <f t="shared" si="24"/>
        <v>10706.945855333337</v>
      </c>
      <c r="AJ42" s="65">
        <f t="shared" ref="AJ42:BO42" si="25">AJ38+AJ41</f>
        <v>10706.945855333337</v>
      </c>
      <c r="AK42" s="65">
        <f t="shared" si="25"/>
        <v>10706.945855333337</v>
      </c>
      <c r="AL42" s="65">
        <f t="shared" si="25"/>
        <v>10706.945855333337</v>
      </c>
      <c r="AM42" s="65">
        <f t="shared" si="25"/>
        <v>10706.945855333337</v>
      </c>
      <c r="AN42" s="65">
        <f t="shared" si="25"/>
        <v>11122.806438076672</v>
      </c>
      <c r="AO42" s="65">
        <f t="shared" si="25"/>
        <v>11122.806438076672</v>
      </c>
      <c r="AP42" s="65">
        <f t="shared" si="25"/>
        <v>11122.806438076672</v>
      </c>
      <c r="AQ42" s="65">
        <f t="shared" si="25"/>
        <v>11122.806438076672</v>
      </c>
      <c r="AR42" s="65">
        <f t="shared" si="25"/>
        <v>11122.806438076672</v>
      </c>
      <c r="AS42" s="65">
        <f t="shared" si="25"/>
        <v>11122.806438076672</v>
      </c>
      <c r="AT42" s="65">
        <f t="shared" si="25"/>
        <v>11122.806438076672</v>
      </c>
      <c r="AU42" s="65">
        <f t="shared" si="25"/>
        <v>11122.806438076672</v>
      </c>
      <c r="AV42" s="65">
        <f t="shared" si="25"/>
        <v>11122.806438076672</v>
      </c>
      <c r="AW42" s="65">
        <f t="shared" si="25"/>
        <v>11122.806438076672</v>
      </c>
      <c r="AX42" s="65">
        <f t="shared" si="25"/>
        <v>11122.806438076672</v>
      </c>
      <c r="AY42" s="65">
        <f t="shared" si="25"/>
        <v>11122.806438076672</v>
      </c>
      <c r="AZ42" s="65">
        <f t="shared" si="25"/>
        <v>11553.509143479387</v>
      </c>
      <c r="BA42" s="65">
        <f t="shared" si="25"/>
        <v>11553.509143479387</v>
      </c>
      <c r="BB42" s="65">
        <f t="shared" si="25"/>
        <v>11553.509143479387</v>
      </c>
      <c r="BC42" s="65">
        <f t="shared" si="25"/>
        <v>11553.509143479387</v>
      </c>
      <c r="BD42" s="65">
        <f t="shared" si="25"/>
        <v>11553.509143479387</v>
      </c>
      <c r="BE42" s="65">
        <f t="shared" si="25"/>
        <v>11553.509143479387</v>
      </c>
      <c r="BF42" s="65">
        <f t="shared" si="25"/>
        <v>11553.509143479387</v>
      </c>
      <c r="BG42" s="65">
        <f t="shared" si="25"/>
        <v>11553.509143479387</v>
      </c>
      <c r="BH42" s="65">
        <f t="shared" si="25"/>
        <v>11553.509143479387</v>
      </c>
      <c r="BI42" s="65">
        <f t="shared" si="25"/>
        <v>11553.509143479387</v>
      </c>
      <c r="BJ42" s="65">
        <f t="shared" si="25"/>
        <v>11553.509143479387</v>
      </c>
      <c r="BK42" s="65">
        <f t="shared" si="25"/>
        <v>11553.509143479387</v>
      </c>
      <c r="BL42" s="65">
        <f t="shared" si="25"/>
        <v>11999.558392850704</v>
      </c>
      <c r="BM42" s="65">
        <f t="shared" si="25"/>
        <v>11999.558392850704</v>
      </c>
      <c r="BN42" s="65">
        <f t="shared" si="25"/>
        <v>11999.558392850704</v>
      </c>
      <c r="BO42" s="65">
        <f t="shared" si="25"/>
        <v>11999.558392850704</v>
      </c>
      <c r="BP42" s="65">
        <f t="shared" ref="BP42:CU42" si="26">BP38+BP41</f>
        <v>11999.558392850704</v>
      </c>
      <c r="BQ42" s="65">
        <f t="shared" si="26"/>
        <v>11999.558392850704</v>
      </c>
      <c r="BR42" s="65">
        <f t="shared" si="26"/>
        <v>11999.558392850704</v>
      </c>
      <c r="BS42" s="65">
        <f t="shared" si="26"/>
        <v>11999.558392850704</v>
      </c>
      <c r="BT42" s="65">
        <f t="shared" si="26"/>
        <v>11999.558392850704</v>
      </c>
      <c r="BU42" s="65">
        <f t="shared" si="26"/>
        <v>11999.558392850704</v>
      </c>
      <c r="BV42" s="65">
        <f t="shared" si="26"/>
        <v>11999.558392850704</v>
      </c>
      <c r="BW42" s="65">
        <f t="shared" si="26"/>
        <v>11999.558392850704</v>
      </c>
      <c r="BX42" s="65">
        <f t="shared" si="26"/>
        <v>12461.475219079834</v>
      </c>
      <c r="BY42" s="65">
        <f t="shared" si="26"/>
        <v>12461.475219079834</v>
      </c>
      <c r="BZ42" s="65">
        <f t="shared" si="26"/>
        <v>12461.475219079834</v>
      </c>
      <c r="CA42" s="65">
        <f t="shared" si="26"/>
        <v>12461.475219079834</v>
      </c>
      <c r="CB42" s="65">
        <f t="shared" si="26"/>
        <v>12461.475219079834</v>
      </c>
      <c r="CC42" s="65">
        <f t="shared" si="26"/>
        <v>12461.475219079834</v>
      </c>
      <c r="CD42" s="65">
        <f t="shared" si="26"/>
        <v>12461.475219079834</v>
      </c>
      <c r="CE42" s="65">
        <f t="shared" si="26"/>
        <v>12461.475219079834</v>
      </c>
      <c r="CF42" s="65">
        <f t="shared" si="26"/>
        <v>12461.475219079834</v>
      </c>
      <c r="CG42" s="65">
        <f t="shared" si="26"/>
        <v>12461.475219079834</v>
      </c>
      <c r="CH42" s="65">
        <f t="shared" si="26"/>
        <v>12461.475219079834</v>
      </c>
      <c r="CI42" s="65">
        <f t="shared" si="26"/>
        <v>12461.475219079834</v>
      </c>
      <c r="CJ42" s="65">
        <f t="shared" si="26"/>
        <v>12939.797801956918</v>
      </c>
      <c r="CK42" s="65">
        <f t="shared" si="26"/>
        <v>12939.797801956918</v>
      </c>
      <c r="CL42" s="65">
        <f t="shared" si="26"/>
        <v>12939.797801956918</v>
      </c>
      <c r="CM42" s="65">
        <f t="shared" si="26"/>
        <v>12939.797801956918</v>
      </c>
      <c r="CN42" s="65">
        <f t="shared" si="26"/>
        <v>12939.797801956918</v>
      </c>
      <c r="CO42" s="65">
        <f t="shared" si="26"/>
        <v>12939.797801956918</v>
      </c>
      <c r="CP42" s="65">
        <f t="shared" si="26"/>
        <v>12939.797801956918</v>
      </c>
      <c r="CQ42" s="65">
        <f t="shared" si="26"/>
        <v>12939.797801956918</v>
      </c>
      <c r="CR42" s="65">
        <f t="shared" si="26"/>
        <v>12939.797801956918</v>
      </c>
      <c r="CS42" s="65">
        <f t="shared" si="26"/>
        <v>12939.797801956918</v>
      </c>
      <c r="CT42" s="65">
        <f t="shared" si="26"/>
        <v>12939.797801956918</v>
      </c>
      <c r="CU42" s="65">
        <f t="shared" si="26"/>
        <v>12939.797801956918</v>
      </c>
      <c r="CV42" s="65">
        <f t="shared" ref="CV42:DS42" si="27">CV38+CV41</f>
        <v>13435.082020477921</v>
      </c>
      <c r="CW42" s="65">
        <f t="shared" si="27"/>
        <v>13435.082020477921</v>
      </c>
      <c r="CX42" s="65">
        <f t="shared" si="27"/>
        <v>13435.082020477921</v>
      </c>
      <c r="CY42" s="65">
        <f t="shared" si="27"/>
        <v>13435.082020477921</v>
      </c>
      <c r="CZ42" s="65">
        <f t="shared" si="27"/>
        <v>13435.082020477921</v>
      </c>
      <c r="DA42" s="65">
        <f t="shared" si="27"/>
        <v>13435.082020477921</v>
      </c>
      <c r="DB42" s="65">
        <f t="shared" si="27"/>
        <v>13435.082020477921</v>
      </c>
      <c r="DC42" s="65">
        <f t="shared" si="27"/>
        <v>13435.082020477921</v>
      </c>
      <c r="DD42" s="65">
        <f t="shared" si="27"/>
        <v>13435.082020477921</v>
      </c>
      <c r="DE42" s="65">
        <f t="shared" si="27"/>
        <v>13435.082020477921</v>
      </c>
      <c r="DF42" s="65">
        <f t="shared" si="27"/>
        <v>13435.082020477921</v>
      </c>
      <c r="DG42" s="65">
        <f t="shared" si="27"/>
        <v>13435.082020477921</v>
      </c>
      <c r="DH42" s="65">
        <f t="shared" si="27"/>
        <v>13947.902022666121</v>
      </c>
      <c r="DI42" s="65">
        <f t="shared" si="27"/>
        <v>13947.902022666121</v>
      </c>
      <c r="DJ42" s="65">
        <f t="shared" si="27"/>
        <v>13947.902022666121</v>
      </c>
      <c r="DK42" s="65">
        <f t="shared" si="27"/>
        <v>13947.902022666121</v>
      </c>
      <c r="DL42" s="65">
        <f t="shared" si="27"/>
        <v>13947.902022666121</v>
      </c>
      <c r="DM42" s="65">
        <f t="shared" si="27"/>
        <v>13947.902022666121</v>
      </c>
      <c r="DN42" s="65">
        <f t="shared" si="27"/>
        <v>13947.902022666121</v>
      </c>
      <c r="DO42" s="65">
        <f t="shared" si="27"/>
        <v>13947.902022666121</v>
      </c>
      <c r="DP42" s="65">
        <f t="shared" si="27"/>
        <v>13947.902022666121</v>
      </c>
      <c r="DQ42" s="65">
        <f t="shared" si="27"/>
        <v>13947.902022666121</v>
      </c>
      <c r="DR42" s="65">
        <f t="shared" si="27"/>
        <v>13947.902022666121</v>
      </c>
      <c r="DS42" s="65">
        <f t="shared" si="27"/>
        <v>13947.902022666121</v>
      </c>
    </row>
    <row r="44" spans="1:123" x14ac:dyDescent="0.25">
      <c r="A44" s="1" t="s">
        <v>304</v>
      </c>
      <c r="D44" s="64">
        <f t="shared" ref="D44:AI44" si="28">SUM(E38:P38)</f>
        <v>88866.143122222216</v>
      </c>
      <c r="E44" s="64">
        <f t="shared" si="28"/>
        <v>92515.516099999993</v>
      </c>
      <c r="F44" s="64">
        <f t="shared" si="28"/>
        <v>96173.032266666676</v>
      </c>
      <c r="G44" s="64">
        <f t="shared" si="28"/>
        <v>99838.691622222235</v>
      </c>
      <c r="H44" s="64">
        <f t="shared" si="28"/>
        <v>103512.49416666669</v>
      </c>
      <c r="I44" s="64">
        <f t="shared" si="28"/>
        <v>107194.43990000003</v>
      </c>
      <c r="J44" s="64">
        <f>SUM(K38:V38)</f>
        <v>110602.55341111115</v>
      </c>
      <c r="K44" s="64">
        <f t="shared" si="28"/>
        <v>113736.83470000001</v>
      </c>
      <c r="L44" s="64">
        <f t="shared" si="28"/>
        <v>116597.28376666666</v>
      </c>
      <c r="M44" s="64">
        <f t="shared" si="28"/>
        <v>119183.90061111111</v>
      </c>
      <c r="N44" s="64">
        <f t="shared" si="28"/>
        <v>121496.68523333335</v>
      </c>
      <c r="O44" s="64">
        <f t="shared" si="28"/>
        <v>123535.63763333336</v>
      </c>
      <c r="P44" s="64">
        <f t="shared" si="28"/>
        <v>125355.56314422225</v>
      </c>
      <c r="Q44" s="64">
        <f t="shared" si="28"/>
        <v>126893.51324400003</v>
      </c>
      <c r="R44" s="64">
        <f t="shared" si="28"/>
        <v>128149.4879326667</v>
      </c>
      <c r="S44" s="64">
        <f t="shared" si="28"/>
        <v>129123.48721022226</v>
      </c>
      <c r="T44" s="64">
        <f t="shared" si="28"/>
        <v>129815.51107666671</v>
      </c>
      <c r="U44" s="64">
        <f t="shared" si="28"/>
        <v>130225.55953200003</v>
      </c>
      <c r="V44" s="64">
        <f t="shared" si="28"/>
        <v>130635.60798733337</v>
      </c>
      <c r="W44" s="64">
        <f t="shared" si="28"/>
        <v>131045.65644266669</v>
      </c>
      <c r="X44" s="64">
        <f t="shared" si="28"/>
        <v>131455.70489800003</v>
      </c>
      <c r="Y44" s="64">
        <f t="shared" si="28"/>
        <v>131865.75335333336</v>
      </c>
      <c r="Z44" s="64">
        <f t="shared" si="28"/>
        <v>132275.8018086667</v>
      </c>
      <c r="AA44" s="64">
        <f t="shared" si="28"/>
        <v>132685.85026400004</v>
      </c>
      <c r="AB44" s="64">
        <f t="shared" si="28"/>
        <v>133110.46605507669</v>
      </c>
      <c r="AC44" s="64">
        <f t="shared" si="28"/>
        <v>133535.08184615336</v>
      </c>
      <c r="AD44" s="64">
        <f t="shared" si="28"/>
        <v>133959.69763723004</v>
      </c>
      <c r="AE44" s="64">
        <f t="shared" si="28"/>
        <v>134384.31342830672</v>
      </c>
      <c r="AF44" s="64">
        <f t="shared" si="28"/>
        <v>134808.9292193834</v>
      </c>
      <c r="AG44" s="64">
        <f t="shared" si="28"/>
        <v>135233.54501046007</v>
      </c>
      <c r="AH44" s="64">
        <f t="shared" si="28"/>
        <v>135658.16080153675</v>
      </c>
      <c r="AI44" s="64">
        <f t="shared" si="28"/>
        <v>136082.77659261343</v>
      </c>
      <c r="AJ44" s="64">
        <f t="shared" ref="AJ44:BO44" si="29">SUM(AK38:AV38)</f>
        <v>136507.39238369011</v>
      </c>
      <c r="AK44" s="64">
        <f t="shared" si="29"/>
        <v>136932.00817476676</v>
      </c>
      <c r="AL44" s="64">
        <f t="shared" si="29"/>
        <v>137356.62396584344</v>
      </c>
      <c r="AM44" s="64">
        <f t="shared" si="29"/>
        <v>137781.23975692008</v>
      </c>
      <c r="AN44" s="64">
        <f t="shared" si="29"/>
        <v>138220.91655086447</v>
      </c>
      <c r="AO44" s="64">
        <f t="shared" si="29"/>
        <v>138660.59334480885</v>
      </c>
      <c r="AP44" s="64">
        <f t="shared" si="29"/>
        <v>139100.27013875323</v>
      </c>
      <c r="AQ44" s="64">
        <f t="shared" si="29"/>
        <v>139539.94693269761</v>
      </c>
      <c r="AR44" s="64">
        <f t="shared" si="29"/>
        <v>139979.62372664199</v>
      </c>
      <c r="AS44" s="64">
        <f t="shared" si="29"/>
        <v>140419.30052058637</v>
      </c>
      <c r="AT44" s="64">
        <f t="shared" si="29"/>
        <v>140858.97731453076</v>
      </c>
      <c r="AU44" s="64">
        <f t="shared" si="29"/>
        <v>141298.65410847514</v>
      </c>
      <c r="AV44" s="64">
        <f t="shared" si="29"/>
        <v>141738.33090241952</v>
      </c>
      <c r="AW44" s="64">
        <f t="shared" si="29"/>
        <v>142178.0076963639</v>
      </c>
      <c r="AX44" s="64">
        <f t="shared" si="29"/>
        <v>142617.68449030828</v>
      </c>
      <c r="AY44" s="64">
        <f t="shared" si="29"/>
        <v>143057.36128425266</v>
      </c>
      <c r="AZ44" s="64">
        <f t="shared" si="29"/>
        <v>143512.6089743792</v>
      </c>
      <c r="BA44" s="64">
        <f t="shared" si="29"/>
        <v>143967.85666450573</v>
      </c>
      <c r="BB44" s="64">
        <f t="shared" si="29"/>
        <v>144423.1043546322</v>
      </c>
      <c r="BC44" s="64">
        <f t="shared" si="29"/>
        <v>144878.35204475874</v>
      </c>
      <c r="BD44" s="64">
        <f t="shared" si="29"/>
        <v>145333.59973488527</v>
      </c>
      <c r="BE44" s="64">
        <f t="shared" si="29"/>
        <v>145788.8474250118</v>
      </c>
      <c r="BF44" s="64">
        <f>SUM(BG38:BR38)</f>
        <v>146244.09511513833</v>
      </c>
      <c r="BG44" s="64">
        <f t="shared" si="29"/>
        <v>146699.34280526487</v>
      </c>
      <c r="BH44" s="64">
        <f t="shared" si="29"/>
        <v>147154.5904953914</v>
      </c>
      <c r="BI44" s="64">
        <f t="shared" si="29"/>
        <v>147609.83818551787</v>
      </c>
      <c r="BJ44" s="64">
        <f t="shared" si="29"/>
        <v>148065.08587564441</v>
      </c>
      <c r="BK44" s="64">
        <f t="shared" si="29"/>
        <v>148520.33356577094</v>
      </c>
      <c r="BL44" s="64">
        <f t="shared" si="29"/>
        <v>148991.67879377413</v>
      </c>
      <c r="BM44" s="64">
        <f t="shared" si="29"/>
        <v>149463.02402177735</v>
      </c>
      <c r="BN44" s="64">
        <f t="shared" si="29"/>
        <v>149934.36924978058</v>
      </c>
      <c r="BO44" s="64">
        <f t="shared" si="29"/>
        <v>150405.7144777838</v>
      </c>
      <c r="BP44" s="64">
        <f t="shared" ref="BP44:CU44" si="30">SUM(BQ38:CB38)</f>
        <v>150877.05970578702</v>
      </c>
      <c r="BQ44" s="64">
        <f t="shared" si="30"/>
        <v>151348.40493379024</v>
      </c>
      <c r="BR44" s="64">
        <f t="shared" si="30"/>
        <v>151819.75016179346</v>
      </c>
      <c r="BS44" s="64">
        <f t="shared" si="30"/>
        <v>152291.09538979668</v>
      </c>
      <c r="BT44" s="64">
        <f t="shared" si="30"/>
        <v>152762.4406177999</v>
      </c>
      <c r="BU44" s="64">
        <f t="shared" si="30"/>
        <v>153233.78584580313</v>
      </c>
      <c r="BV44" s="64">
        <f t="shared" si="30"/>
        <v>153705.13107380635</v>
      </c>
      <c r="BW44" s="64">
        <f t="shared" si="30"/>
        <v>154176.47630180957</v>
      </c>
      <c r="BX44" s="64">
        <f t="shared" si="30"/>
        <v>154664.46299650511</v>
      </c>
      <c r="BY44" s="64">
        <f t="shared" si="30"/>
        <v>155152.44969120063</v>
      </c>
      <c r="BZ44" s="64">
        <f t="shared" si="30"/>
        <v>155640.43638589617</v>
      </c>
      <c r="CA44" s="64">
        <f t="shared" si="30"/>
        <v>156128.42308059169</v>
      </c>
      <c r="CB44" s="64">
        <f t="shared" si="30"/>
        <v>156616.40977528723</v>
      </c>
      <c r="CC44" s="64">
        <f t="shared" si="30"/>
        <v>157104.39646998275</v>
      </c>
      <c r="CD44" s="64">
        <f t="shared" si="30"/>
        <v>157592.38316467829</v>
      </c>
      <c r="CE44" s="64">
        <f t="shared" si="30"/>
        <v>158080.36985937381</v>
      </c>
      <c r="CF44" s="64">
        <f t="shared" si="30"/>
        <v>158568.35655406932</v>
      </c>
      <c r="CG44" s="64">
        <f t="shared" si="30"/>
        <v>159056.34324876487</v>
      </c>
      <c r="CH44" s="64">
        <f t="shared" si="30"/>
        <v>159544.32994346038</v>
      </c>
      <c r="CI44" s="64">
        <f t="shared" si="30"/>
        <v>160032.31663815593</v>
      </c>
      <c r="CJ44" s="64">
        <f t="shared" si="30"/>
        <v>160537.50657129084</v>
      </c>
      <c r="CK44" s="64">
        <f t="shared" si="30"/>
        <v>161042.69650442572</v>
      </c>
      <c r="CL44" s="64">
        <f t="shared" si="30"/>
        <v>161547.88643756066</v>
      </c>
      <c r="CM44" s="64">
        <f t="shared" si="30"/>
        <v>162053.07637069555</v>
      </c>
      <c r="CN44" s="64">
        <f t="shared" si="30"/>
        <v>162558.26630383043</v>
      </c>
      <c r="CO44" s="64">
        <f t="shared" si="30"/>
        <v>163063.45623696531</v>
      </c>
      <c r="CP44" s="64">
        <f t="shared" si="30"/>
        <v>163568.64617010026</v>
      </c>
      <c r="CQ44" s="64">
        <f t="shared" si="30"/>
        <v>164073.83610323514</v>
      </c>
      <c r="CR44" s="64">
        <f t="shared" si="30"/>
        <v>164579.02603637002</v>
      </c>
      <c r="CS44" s="64">
        <f t="shared" si="30"/>
        <v>165084.21596950496</v>
      </c>
      <c r="CT44" s="64">
        <f t="shared" si="30"/>
        <v>165589.40590263985</v>
      </c>
      <c r="CU44" s="64">
        <f t="shared" si="30"/>
        <v>166094.59583577473</v>
      </c>
      <c r="CV44" s="64">
        <f t="shared" ref="CV44:DG44" si="31">SUM(CW38:DH38)</f>
        <v>166617.56919544216</v>
      </c>
      <c r="CW44" s="64">
        <f t="shared" si="31"/>
        <v>167140.54255510963</v>
      </c>
      <c r="CX44" s="64">
        <f t="shared" si="31"/>
        <v>167663.51591477706</v>
      </c>
      <c r="CY44" s="64">
        <f t="shared" si="31"/>
        <v>168186.48927444452</v>
      </c>
      <c r="CZ44" s="64">
        <f t="shared" si="31"/>
        <v>168709.46263411199</v>
      </c>
      <c r="DA44" s="64">
        <f t="shared" si="31"/>
        <v>169232.43599377942</v>
      </c>
      <c r="DB44" s="64">
        <f t="shared" si="31"/>
        <v>169755.40935344686</v>
      </c>
      <c r="DC44" s="64">
        <f t="shared" si="31"/>
        <v>170278.38271311432</v>
      </c>
      <c r="DD44" s="64">
        <f t="shared" si="31"/>
        <v>170801.35607278178</v>
      </c>
      <c r="DE44" s="64">
        <f t="shared" si="31"/>
        <v>171324.32943244922</v>
      </c>
      <c r="DF44" s="64">
        <f t="shared" si="31"/>
        <v>171847.30279211665</v>
      </c>
      <c r="DG44" s="64">
        <f t="shared" si="31"/>
        <v>172370.27615178411</v>
      </c>
      <c r="DH44" s="64">
        <f t="shared" ref="DH44:DS44" si="32">SUM(CW38:DH38)</f>
        <v>166617.56919544216</v>
      </c>
      <c r="DI44" s="64">
        <f t="shared" si="32"/>
        <v>167140.54255510963</v>
      </c>
      <c r="DJ44" s="64">
        <f t="shared" si="32"/>
        <v>167663.51591477706</v>
      </c>
      <c r="DK44" s="64">
        <f t="shared" si="32"/>
        <v>168186.48927444452</v>
      </c>
      <c r="DL44" s="64">
        <f t="shared" si="32"/>
        <v>168709.46263411199</v>
      </c>
      <c r="DM44" s="64">
        <f t="shared" si="32"/>
        <v>169232.43599377942</v>
      </c>
      <c r="DN44" s="64">
        <f t="shared" si="32"/>
        <v>169755.40935344686</v>
      </c>
      <c r="DO44" s="64">
        <f t="shared" si="32"/>
        <v>170278.38271311432</v>
      </c>
      <c r="DP44" s="64">
        <f t="shared" si="32"/>
        <v>170801.35607278178</v>
      </c>
      <c r="DQ44" s="64">
        <f t="shared" si="32"/>
        <v>171324.32943244922</v>
      </c>
      <c r="DR44" s="64">
        <f t="shared" si="32"/>
        <v>171847.30279211665</v>
      </c>
      <c r="DS44" s="64">
        <f t="shared" si="32"/>
        <v>172370.27615178411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2"/>
  <sheetViews>
    <sheetView showGridLines="0" topLeftCell="AF2" zoomScaleNormal="100" workbookViewId="0">
      <selection activeCell="AL10" sqref="AL10"/>
    </sheetView>
  </sheetViews>
  <sheetFormatPr defaultColWidth="8.7109375" defaultRowHeight="15" x14ac:dyDescent="0.25"/>
  <cols>
    <col min="1" max="1" width="30" customWidth="1"/>
    <col min="39" max="123" width="9.85546875" bestFit="1" customWidth="1"/>
  </cols>
  <sheetData>
    <row r="1" spans="1:123" ht="24" customHeight="1" x14ac:dyDescent="0.25">
      <c r="A1" s="141" t="s">
        <v>328</v>
      </c>
      <c r="B1" s="141"/>
      <c r="C1" s="141"/>
      <c r="D1" s="141"/>
      <c r="E1" s="141"/>
      <c r="F1" s="141"/>
    </row>
    <row r="2" spans="1:123" ht="13.5" customHeight="1" x14ac:dyDescent="0.25">
      <c r="A2" s="142" t="s">
        <v>329</v>
      </c>
      <c r="B2" s="142"/>
      <c r="C2" s="142"/>
      <c r="D2" s="142"/>
      <c r="E2" s="142"/>
      <c r="F2" s="142"/>
    </row>
    <row r="4" spans="1:123" x14ac:dyDescent="0.25">
      <c r="A4" s="1" t="s">
        <v>291</v>
      </c>
      <c r="D4" s="59">
        <v>1</v>
      </c>
      <c r="E4" s="59">
        <v>2</v>
      </c>
      <c r="F4" s="59">
        <v>3</v>
      </c>
      <c r="G4" s="59">
        <v>4</v>
      </c>
      <c r="H4" s="59">
        <v>5</v>
      </c>
      <c r="I4" s="59">
        <v>6</v>
      </c>
      <c r="J4" s="59">
        <v>7</v>
      </c>
      <c r="K4" s="59">
        <v>8</v>
      </c>
      <c r="L4" s="59">
        <v>9</v>
      </c>
      <c r="M4" s="59">
        <v>10</v>
      </c>
      <c r="N4" s="59">
        <v>11</v>
      </c>
      <c r="O4" s="59">
        <v>12</v>
      </c>
      <c r="P4" s="59">
        <v>13</v>
      </c>
      <c r="Q4" s="59">
        <v>14</v>
      </c>
      <c r="R4" s="59">
        <v>15</v>
      </c>
      <c r="S4" s="59">
        <v>16</v>
      </c>
      <c r="T4" s="59">
        <v>17</v>
      </c>
      <c r="U4" s="59">
        <v>18</v>
      </c>
      <c r="V4" s="59">
        <v>19</v>
      </c>
      <c r="W4" s="59">
        <v>20</v>
      </c>
      <c r="X4" s="59">
        <v>21</v>
      </c>
      <c r="Y4" s="59">
        <v>22</v>
      </c>
      <c r="Z4" s="59">
        <v>23</v>
      </c>
      <c r="AA4" s="59">
        <v>24</v>
      </c>
      <c r="AB4" s="59">
        <v>25</v>
      </c>
      <c r="AC4" s="59">
        <v>26</v>
      </c>
      <c r="AD4" s="59">
        <v>27</v>
      </c>
      <c r="AE4" s="59">
        <v>28</v>
      </c>
      <c r="AF4" s="59">
        <v>29</v>
      </c>
      <c r="AG4" s="59">
        <v>30</v>
      </c>
      <c r="AH4" s="59">
        <v>31</v>
      </c>
      <c r="AI4" s="59">
        <v>32</v>
      </c>
      <c r="AJ4" s="59">
        <v>33</v>
      </c>
      <c r="AK4" s="59">
        <v>34</v>
      </c>
      <c r="AL4" s="59">
        <v>35</v>
      </c>
      <c r="AM4" s="59">
        <v>36</v>
      </c>
      <c r="AN4" s="59">
        <v>37</v>
      </c>
      <c r="AO4" s="59">
        <v>38</v>
      </c>
      <c r="AP4" s="59">
        <v>39</v>
      </c>
      <c r="AQ4" s="59">
        <v>40</v>
      </c>
      <c r="AR4" s="59">
        <v>41</v>
      </c>
      <c r="AS4" s="59">
        <v>42</v>
      </c>
      <c r="AT4" s="59">
        <v>43</v>
      </c>
      <c r="AU4" s="59">
        <v>44</v>
      </c>
      <c r="AV4" s="59">
        <v>45</v>
      </c>
      <c r="AW4" s="59">
        <v>46</v>
      </c>
      <c r="AX4" s="59">
        <v>47</v>
      </c>
      <c r="AY4" s="59">
        <v>48</v>
      </c>
      <c r="AZ4" s="59">
        <v>49</v>
      </c>
      <c r="BA4" s="59">
        <v>50</v>
      </c>
      <c r="BB4" s="59">
        <v>51</v>
      </c>
      <c r="BC4" s="59">
        <v>52</v>
      </c>
      <c r="BD4" s="59">
        <v>53</v>
      </c>
      <c r="BE4" s="59">
        <v>54</v>
      </c>
      <c r="BF4" s="59">
        <v>55</v>
      </c>
      <c r="BG4" s="59">
        <v>56</v>
      </c>
      <c r="BH4" s="59">
        <v>57</v>
      </c>
      <c r="BI4" s="59">
        <v>58</v>
      </c>
      <c r="BJ4" s="59">
        <v>59</v>
      </c>
      <c r="BK4" s="59">
        <v>60</v>
      </c>
      <c r="BL4" s="59">
        <v>61</v>
      </c>
      <c r="BM4" s="59">
        <v>62</v>
      </c>
      <c r="BN4" s="59">
        <v>63</v>
      </c>
      <c r="BO4" s="59">
        <v>64</v>
      </c>
      <c r="BP4" s="59">
        <v>65</v>
      </c>
      <c r="BQ4" s="59">
        <v>66</v>
      </c>
      <c r="BR4" s="59">
        <v>67</v>
      </c>
      <c r="BS4" s="59">
        <v>68</v>
      </c>
      <c r="BT4" s="59">
        <v>69</v>
      </c>
      <c r="BU4" s="59">
        <v>70</v>
      </c>
      <c r="BV4" s="59">
        <v>71</v>
      </c>
      <c r="BW4" s="59">
        <v>72</v>
      </c>
      <c r="BX4" s="59">
        <v>73</v>
      </c>
      <c r="BY4" s="59">
        <v>74</v>
      </c>
      <c r="BZ4" s="59">
        <v>75</v>
      </c>
      <c r="CA4" s="59">
        <v>76</v>
      </c>
      <c r="CB4" s="59">
        <v>77</v>
      </c>
      <c r="CC4" s="59">
        <v>78</v>
      </c>
      <c r="CD4" s="59">
        <v>79</v>
      </c>
      <c r="CE4" s="59">
        <v>80</v>
      </c>
      <c r="CF4" s="59">
        <v>81</v>
      </c>
      <c r="CG4" s="59">
        <v>82</v>
      </c>
      <c r="CH4" s="59">
        <v>83</v>
      </c>
      <c r="CI4" s="59">
        <v>84</v>
      </c>
      <c r="CJ4" s="59">
        <v>85</v>
      </c>
      <c r="CK4" s="59">
        <v>86</v>
      </c>
      <c r="CL4" s="59">
        <v>87</v>
      </c>
      <c r="CM4" s="59">
        <v>88</v>
      </c>
      <c r="CN4" s="59">
        <v>89</v>
      </c>
      <c r="CO4" s="59">
        <v>90</v>
      </c>
      <c r="CP4" s="59">
        <v>91</v>
      </c>
      <c r="CQ4" s="59">
        <v>92</v>
      </c>
      <c r="CR4" s="59">
        <v>93</v>
      </c>
      <c r="CS4" s="59">
        <v>94</v>
      </c>
      <c r="CT4" s="59">
        <v>95</v>
      </c>
      <c r="CU4" s="59">
        <v>96</v>
      </c>
      <c r="CV4" s="59">
        <v>97</v>
      </c>
      <c r="CW4" s="59">
        <v>98</v>
      </c>
      <c r="CX4" s="59">
        <v>99</v>
      </c>
      <c r="CY4" s="59">
        <v>100</v>
      </c>
      <c r="CZ4" s="59">
        <v>101</v>
      </c>
      <c r="DA4" s="59">
        <v>102</v>
      </c>
      <c r="DB4" s="59">
        <v>103</v>
      </c>
      <c r="DC4" s="59">
        <v>104</v>
      </c>
      <c r="DD4" s="59">
        <v>105</v>
      </c>
      <c r="DE4" s="59">
        <v>106</v>
      </c>
      <c r="DF4" s="59">
        <v>107</v>
      </c>
      <c r="DG4" s="59">
        <v>108</v>
      </c>
      <c r="DH4" s="59">
        <v>109</v>
      </c>
      <c r="DI4" s="59">
        <v>110</v>
      </c>
      <c r="DJ4" s="59">
        <v>111</v>
      </c>
      <c r="DK4" s="59">
        <v>112</v>
      </c>
      <c r="DL4" s="59">
        <v>113</v>
      </c>
      <c r="DM4" s="59">
        <v>114</v>
      </c>
      <c r="DN4" s="59">
        <v>115</v>
      </c>
      <c r="DO4" s="59">
        <v>116</v>
      </c>
      <c r="DP4" s="59">
        <v>117</v>
      </c>
      <c r="DQ4" s="59">
        <v>118</v>
      </c>
      <c r="DR4" s="59">
        <v>119</v>
      </c>
      <c r="DS4" s="59">
        <v>120</v>
      </c>
    </row>
    <row r="5" spans="1:123" x14ac:dyDescent="0.25">
      <c r="A5" s="74" t="s">
        <v>330</v>
      </c>
      <c r="AL5" t="s">
        <v>532</v>
      </c>
    </row>
    <row r="6" spans="1:123" x14ac:dyDescent="0.25">
      <c r="A6" s="1" t="s">
        <v>331</v>
      </c>
      <c r="D6" s="64">
        <f>IF(D4&lt;IF(Assumptions!$B$67=1,Assumptions!$B$68,Assumptions!$B$60+1),Acquisition!$B$10,0)</f>
        <v>910000</v>
      </c>
      <c r="E6" s="64">
        <f>IF(E4&lt;IF(Assumptions!$B$67=1,Assumptions!$B$68,Assumptions!$B$60+1),D10,0)</f>
        <v>910000</v>
      </c>
      <c r="F6" s="64">
        <f>IF(F4&lt;IF(Assumptions!$B$67=1,Assumptions!$B$68,Assumptions!$B$60+1),E10,0)</f>
        <v>910000</v>
      </c>
      <c r="G6" s="64">
        <f>IF(G4&lt;IF(Assumptions!$B$67=1,Assumptions!$B$68,Assumptions!$B$60+1),F10,0)</f>
        <v>910000</v>
      </c>
      <c r="H6" s="64">
        <f>IF(H4&lt;IF(Assumptions!$B$67=1,Assumptions!$B$68,Assumptions!$B$60+1),G10,0)</f>
        <v>910000</v>
      </c>
      <c r="I6" s="64">
        <f>IF(I4&lt;IF(Assumptions!$B$67=1,Assumptions!$B$68,Assumptions!$B$60+1),H10,0)</f>
        <v>910000</v>
      </c>
      <c r="J6" s="64">
        <f>IF(J4&lt;IF(Assumptions!$B$67=1,Assumptions!$B$68,Assumptions!$B$60+1),I10,0)</f>
        <v>910000</v>
      </c>
      <c r="K6" s="64">
        <f>IF(K4&lt;IF(Assumptions!$B$67=1,Assumptions!$B$68,Assumptions!$B$60+1),J10,0)</f>
        <v>910000</v>
      </c>
      <c r="L6" s="64">
        <f>IF(L4&lt;IF(Assumptions!$B$67=1,Assumptions!$B$68,Assumptions!$B$60+1),K10,0)</f>
        <v>910000</v>
      </c>
      <c r="M6" s="64">
        <f>IF(M4&lt;IF(Assumptions!$B$67=1,Assumptions!$B$68,Assumptions!$B$60+1),L10,0)</f>
        <v>910000</v>
      </c>
      <c r="N6" s="64">
        <f>IF(N4&lt;IF(Assumptions!$B$67=1,Assumptions!$B$68,Assumptions!$B$60+1),M10,0)</f>
        <v>910000</v>
      </c>
      <c r="O6" s="64">
        <f>IF(O4&lt;IF(Assumptions!$B$67=1,Assumptions!$B$68,Assumptions!$B$60+1),N10,0)</f>
        <v>910000</v>
      </c>
      <c r="P6" s="64">
        <f>IF(P4&lt;IF(Assumptions!$B$67=1,Assumptions!$B$68,Assumptions!$B$60+1),O10,0)</f>
        <v>910000</v>
      </c>
      <c r="Q6" s="64">
        <f>IF(Q4&lt;IF(Assumptions!$B$67=1,Assumptions!$B$68,Assumptions!$B$60+1),P10,0)</f>
        <v>910000</v>
      </c>
      <c r="R6" s="64">
        <f>IF(R4&lt;IF(Assumptions!$B$67=1,Assumptions!$B$68,Assumptions!$B$60+1),Q10,0)</f>
        <v>910000</v>
      </c>
      <c r="S6" s="64">
        <f>IF(S4&lt;IF(Assumptions!$B$67=1,Assumptions!$B$68,Assumptions!$B$60+1),R10,0)</f>
        <v>910000</v>
      </c>
      <c r="T6" s="64">
        <f>IF(T4&lt;IF(Assumptions!$B$67=1,Assumptions!$B$68,Assumptions!$B$60+1),S10,0)</f>
        <v>910000</v>
      </c>
      <c r="U6" s="64">
        <f>IF(U4&lt;IF(Assumptions!$B$67=1,Assumptions!$B$68,Assumptions!$B$60+1),T10,0)</f>
        <v>910000</v>
      </c>
      <c r="V6" s="64">
        <f>IF(V4&lt;IF(Assumptions!$B$67=1,Assumptions!$B$68,Assumptions!$B$60+1),U10,0)</f>
        <v>910000</v>
      </c>
      <c r="W6" s="64">
        <f>IF(W4&lt;IF(Assumptions!$B$67=1,Assumptions!$B$68,Assumptions!$B$60+1),V10,0)</f>
        <v>910000</v>
      </c>
      <c r="X6" s="64">
        <f>IF(X4&lt;IF(Assumptions!$B$67=1,Assumptions!$B$68,Assumptions!$B$60+1),W10,0)</f>
        <v>910000</v>
      </c>
      <c r="Y6" s="64">
        <f>IF(Y4&lt;IF(Assumptions!$B$67=1,Assumptions!$B$68,Assumptions!$B$60+1),X10,0)</f>
        <v>910000</v>
      </c>
      <c r="Z6" s="64">
        <f>IF(Z4&lt;IF(Assumptions!$B$67=1,Assumptions!$B$68,Assumptions!$B$60+1),Y10,0)</f>
        <v>910000</v>
      </c>
      <c r="AA6" s="64">
        <f>IF(AA4&lt;IF(Assumptions!$B$67=1,Assumptions!$B$68,Assumptions!$B$60+1),Z10,0)</f>
        <v>910000</v>
      </c>
      <c r="AB6" s="64">
        <f>IF(AB4&lt;IF(Assumptions!$B$67=1,Assumptions!$B$68,Assumptions!$B$60+1),AA10,0)</f>
        <v>910000</v>
      </c>
      <c r="AC6" s="64">
        <f>IF(AC4&lt;IF(Assumptions!$B$67=1,Assumptions!$B$68,Assumptions!$B$60+1),AB10,0)</f>
        <v>909177.34765288071</v>
      </c>
      <c r="AD6" s="64">
        <f>IF(AD4&lt;IF(Assumptions!$B$67=1,Assumptions!$B$68,Assumptions!$B$60+1),AC10,0)</f>
        <v>908350.23927221447</v>
      </c>
      <c r="AE6" s="64">
        <f>IF(AE4&lt;IF(Assumptions!$B$67=1,Assumptions!$B$68,Assumptions!$B$60+1),AD10,0)</f>
        <v>907518.65072115301</v>
      </c>
      <c r="AF6" s="64">
        <f>IF(AF4&lt;IF(Assumptions!$B$67=1,Assumptions!$B$68,Assumptions!$B$60+1),AE10,0)</f>
        <v>906682.55773210665</v>
      </c>
      <c r="AG6" s="64">
        <f>IF(AG4&lt;IF(Assumptions!$B$67=1,Assumptions!$B$68,Assumptions!$B$60+1),AF10,0)</f>
        <v>905841.93590603629</v>
      </c>
      <c r="AH6" s="64">
        <f>IF(AH4&lt;IF(Assumptions!$B$67=1,Assumptions!$B$68,Assumptions!$B$60+1),AG10,0)</f>
        <v>904996.7607117414</v>
      </c>
      <c r="AI6" s="64">
        <f>IF(AI4&lt;IF(Assumptions!$B$67=1,Assumptions!$B$68,Assumptions!$B$60+1),AH10,0)</f>
        <v>904147.00748514407</v>
      </c>
      <c r="AJ6" s="64">
        <f>IF(AJ4&lt;IF(Assumptions!$B$67=1,Assumptions!$B$68,Assumptions!$B$60+1),AI10,0)</f>
        <v>903292.65142856934</v>
      </c>
      <c r="AK6" s="64">
        <f>IF(AK4&lt;IF(Assumptions!$B$67=1,Assumptions!$B$68,Assumptions!$B$60+1),AJ10,0)</f>
        <v>902433.66761002142</v>
      </c>
      <c r="AL6" s="64">
        <f>IF(AL4&lt;IF(Assumptions!$B$67=1,Assumptions!$B$68,Assumptions!$B$60+1),AK10,0)</f>
        <v>901570.03096245637</v>
      </c>
      <c r="AM6" s="64">
        <f>IF(AM4&lt;IF(Assumptions!$B$67=1,Assumptions!$B$68,Assumptions!$B$60+1),AL10,0)</f>
        <v>0</v>
      </c>
      <c r="AN6" s="64">
        <f>IF(AN4&lt;IF(Assumptions!$B$67=1,Assumptions!$B$68,Assumptions!$B$60+1),AM10,0)</f>
        <v>0</v>
      </c>
      <c r="AO6" s="64">
        <f>IF(AO4&lt;IF(Assumptions!$B$67=1,Assumptions!$B$68,Assumptions!$B$60+1),AN10,0)</f>
        <v>0</v>
      </c>
      <c r="AP6" s="64">
        <f>IF(AP4&lt;IF(Assumptions!$B$67=1,Assumptions!$B$68,Assumptions!$B$60+1),AO10,0)</f>
        <v>0</v>
      </c>
      <c r="AQ6" s="64">
        <f>IF(AQ4&lt;IF(Assumptions!$B$67=1,Assumptions!$B$68,Assumptions!$B$60+1),AP10,0)</f>
        <v>0</v>
      </c>
      <c r="AR6" s="64">
        <f>IF(AR4&lt;IF(Assumptions!$B$67=1,Assumptions!$B$68,Assumptions!$B$60+1),AQ10,0)</f>
        <v>0</v>
      </c>
      <c r="AS6" s="64">
        <f>IF(AS4&lt;IF(Assumptions!$B$67=1,Assumptions!$B$68,Assumptions!$B$60+1),AR10,0)</f>
        <v>0</v>
      </c>
      <c r="AT6" s="64">
        <f>IF(AT4&lt;IF(Assumptions!$B$67=1,Assumptions!$B$68,Assumptions!$B$60+1),AS10,0)</f>
        <v>0</v>
      </c>
      <c r="AU6" s="64">
        <f>IF(AU4&lt;IF(Assumptions!$B$67=1,Assumptions!$B$68,Assumptions!$B$60+1),AT10,0)</f>
        <v>0</v>
      </c>
      <c r="AV6" s="64">
        <f>IF(AV4&lt;IF(Assumptions!$B$67=1,Assumptions!$B$68,Assumptions!$B$60+1),AU10,0)</f>
        <v>0</v>
      </c>
      <c r="AW6" s="64">
        <f>IF(AW4&lt;IF(Assumptions!$B$67=1,Assumptions!$B$68,Assumptions!$B$60+1),AV10,0)</f>
        <v>0</v>
      </c>
      <c r="AX6" s="64">
        <f>IF(AX4&lt;IF(Assumptions!$B$67=1,Assumptions!$B$68,Assumptions!$B$60+1),AW10,0)</f>
        <v>0</v>
      </c>
      <c r="AY6" s="64">
        <f>IF(AY4&lt;IF(Assumptions!$B$67=1,Assumptions!$B$68,Assumptions!$B$60+1),AX10,0)</f>
        <v>0</v>
      </c>
      <c r="AZ6" s="64">
        <f>IF(AZ4&lt;IF(Assumptions!$B$67=1,Assumptions!$B$68,Assumptions!$B$60+1),AY10,0)</f>
        <v>0</v>
      </c>
      <c r="BA6" s="64">
        <f>IF(BA4&lt;IF(Assumptions!$B$67=1,Assumptions!$B$68,Assumptions!$B$60+1),AZ10,0)</f>
        <v>0</v>
      </c>
      <c r="BB6" s="64">
        <f>IF(BB4&lt;IF(Assumptions!$B$67=1,Assumptions!$B$68,Assumptions!$B$60+1),BA10,0)</f>
        <v>0</v>
      </c>
      <c r="BC6" s="64">
        <f>IF(BC4&lt;IF(Assumptions!$B$67=1,Assumptions!$B$68,Assumptions!$B$60+1),BB10,0)</f>
        <v>0</v>
      </c>
      <c r="BD6" s="64">
        <f>IF(BD4&lt;IF(Assumptions!$B$67=1,Assumptions!$B$68,Assumptions!$B$60+1),BC10,0)</f>
        <v>0</v>
      </c>
      <c r="BE6" s="64">
        <f>IF(BE4&lt;IF(Assumptions!$B$67=1,Assumptions!$B$68,Assumptions!$B$60+1),BD10,0)</f>
        <v>0</v>
      </c>
      <c r="BF6" s="64">
        <f>IF(BF4&lt;IF(Assumptions!$B$67=1,Assumptions!$B$68,Assumptions!$B$60+1),BE10,0)</f>
        <v>0</v>
      </c>
      <c r="BG6" s="64">
        <f>IF(BG4&lt;IF(Assumptions!$B$67=1,Assumptions!$B$68,Assumptions!$B$60+1),BF10,0)</f>
        <v>0</v>
      </c>
      <c r="BH6" s="64">
        <f>IF(BH4&lt;IF(Assumptions!$B$67=1,Assumptions!$B$68,Assumptions!$B$60+1),BG10,0)</f>
        <v>0</v>
      </c>
      <c r="BI6" s="64">
        <f>IF(BI4&lt;IF(Assumptions!$B$67=1,Assumptions!$B$68,Assumptions!$B$60+1),BH10,0)</f>
        <v>0</v>
      </c>
      <c r="BJ6" s="64">
        <f>IF(BJ4&lt;IF(Assumptions!$B$67=1,Assumptions!$B$68,Assumptions!$B$60+1),BI10,0)</f>
        <v>0</v>
      </c>
      <c r="BK6" s="64">
        <f>IF(BK4&lt;IF(Assumptions!$B$67=1,Assumptions!$B$68,Assumptions!$B$60+1),BJ10,0)</f>
        <v>0</v>
      </c>
      <c r="BL6" s="64">
        <f>IF(BL4&lt;IF(Assumptions!$B$67=1,Assumptions!$B$68,Assumptions!$B$60+1),BK10,0)</f>
        <v>0</v>
      </c>
      <c r="BM6" s="64">
        <f>IF(BM4&lt;IF(Assumptions!$B$67=1,Assumptions!$B$68,Assumptions!$B$60+1),BL10,0)</f>
        <v>0</v>
      </c>
      <c r="BN6" s="64">
        <f>IF(BN4&lt;IF(Assumptions!$B$67=1,Assumptions!$B$68,Assumptions!$B$60+1),BM10,0)</f>
        <v>0</v>
      </c>
      <c r="BO6" s="64">
        <f>IF(BO4&lt;IF(Assumptions!$B$67=1,Assumptions!$B$68,Assumptions!$B$60+1),BN10,0)</f>
        <v>0</v>
      </c>
      <c r="BP6" s="64">
        <f>IF(BP4&lt;IF(Assumptions!$B$67=1,Assumptions!$B$68,Assumptions!$B$60+1),BO10,0)</f>
        <v>0</v>
      </c>
      <c r="BQ6" s="64">
        <f>IF(BQ4&lt;IF(Assumptions!$B$67=1,Assumptions!$B$68,Assumptions!$B$60+1),BP10,0)</f>
        <v>0</v>
      </c>
      <c r="BR6" s="64">
        <f>IF(BR4&lt;IF(Assumptions!$B$67=1,Assumptions!$B$68,Assumptions!$B$60+1),BQ10,0)</f>
        <v>0</v>
      </c>
      <c r="BS6" s="64">
        <f>IF(BS4&lt;IF(Assumptions!$B$67=1,Assumptions!$B$68,Assumptions!$B$60+1),BR10,0)</f>
        <v>0</v>
      </c>
      <c r="BT6" s="64">
        <f>IF(BT4&lt;IF(Assumptions!$B$67=1,Assumptions!$B$68,Assumptions!$B$60+1),BS10,0)</f>
        <v>0</v>
      </c>
      <c r="BU6" s="64">
        <f>IF(BU4&lt;IF(Assumptions!$B$67=1,Assumptions!$B$68,Assumptions!$B$60+1),BT10,0)</f>
        <v>0</v>
      </c>
      <c r="BV6" s="64">
        <f>IF(BV4&lt;IF(Assumptions!$B$67=1,Assumptions!$B$68,Assumptions!$B$60+1),BU10,0)</f>
        <v>0</v>
      </c>
      <c r="BW6" s="64">
        <f>IF(BW4&lt;IF(Assumptions!$B$67=1,Assumptions!$B$68,Assumptions!$B$60+1),BV10,0)</f>
        <v>0</v>
      </c>
      <c r="BX6" s="64">
        <f>IF(BX4&lt;IF(Assumptions!$B$67=1,Assumptions!$B$68,Assumptions!$B$60+1),BW10,0)</f>
        <v>0</v>
      </c>
      <c r="BY6" s="64">
        <f>IF(BY4&lt;IF(Assumptions!$B$67=1,Assumptions!$B$68,Assumptions!$B$60+1),BX10,0)</f>
        <v>0</v>
      </c>
      <c r="BZ6" s="64">
        <f>IF(BZ4&lt;IF(Assumptions!$B$67=1,Assumptions!$B$68,Assumptions!$B$60+1),BY10,0)</f>
        <v>0</v>
      </c>
      <c r="CA6" s="64">
        <f>IF(CA4&lt;IF(Assumptions!$B$67=1,Assumptions!$B$68,Assumptions!$B$60+1),BZ10,0)</f>
        <v>0</v>
      </c>
      <c r="CB6" s="64">
        <f>IF(CB4&lt;IF(Assumptions!$B$67=1,Assumptions!$B$68,Assumptions!$B$60+1),CA10,0)</f>
        <v>0</v>
      </c>
      <c r="CC6" s="64">
        <f>IF(CC4&lt;IF(Assumptions!$B$67=1,Assumptions!$B$68,Assumptions!$B$60+1),CB10,0)</f>
        <v>0</v>
      </c>
      <c r="CD6" s="64">
        <f>IF(CD4&lt;IF(Assumptions!$B$67=1,Assumptions!$B$68,Assumptions!$B$60+1),CC10,0)</f>
        <v>0</v>
      </c>
      <c r="CE6" s="64">
        <f>IF(CE4&lt;IF(Assumptions!$B$67=1,Assumptions!$B$68,Assumptions!$B$60+1),CD10,0)</f>
        <v>0</v>
      </c>
      <c r="CF6" s="64">
        <f>IF(CF4&lt;IF(Assumptions!$B$67=1,Assumptions!$B$68,Assumptions!$B$60+1),CE10,0)</f>
        <v>0</v>
      </c>
      <c r="CG6" s="64">
        <f>IF(CG4&lt;IF(Assumptions!$B$67=1,Assumptions!$B$68,Assumptions!$B$60+1),CF10,0)</f>
        <v>0</v>
      </c>
      <c r="CH6" s="64">
        <f>IF(CH4&lt;IF(Assumptions!$B$67=1,Assumptions!$B$68,Assumptions!$B$60+1),CG10,0)</f>
        <v>0</v>
      </c>
      <c r="CI6" s="64">
        <f>IF(CI4&lt;IF(Assumptions!$B$67=1,Assumptions!$B$68,Assumptions!$B$60+1),CH10,0)</f>
        <v>0</v>
      </c>
      <c r="CJ6" s="64">
        <f>IF(CJ4&lt;IF(Assumptions!$B$67=1,Assumptions!$B$68,Assumptions!$B$60+1),CI10,0)</f>
        <v>0</v>
      </c>
      <c r="CK6" s="64">
        <f>IF(CK4&lt;IF(Assumptions!$B$67=1,Assumptions!$B$68,Assumptions!$B$60+1),CJ10,0)</f>
        <v>0</v>
      </c>
      <c r="CL6" s="64">
        <f>IF(CL4&lt;IF(Assumptions!$B$67=1,Assumptions!$B$68,Assumptions!$B$60+1),CK10,0)</f>
        <v>0</v>
      </c>
      <c r="CM6" s="64">
        <f>IF(CM4&lt;IF(Assumptions!$B$67=1,Assumptions!$B$68,Assumptions!$B$60+1),CL10,0)</f>
        <v>0</v>
      </c>
      <c r="CN6" s="64">
        <f>IF(CN4&lt;IF(Assumptions!$B$67=1,Assumptions!$B$68,Assumptions!$B$60+1),CM10,0)</f>
        <v>0</v>
      </c>
      <c r="CO6" s="64">
        <f>IF(CO4&lt;IF(Assumptions!$B$67=1,Assumptions!$B$68,Assumptions!$B$60+1),CN10,0)</f>
        <v>0</v>
      </c>
      <c r="CP6" s="64">
        <f>IF(CP4&lt;IF(Assumptions!$B$67=1,Assumptions!$B$68,Assumptions!$B$60+1),CO10,0)</f>
        <v>0</v>
      </c>
      <c r="CQ6" s="64">
        <f>IF(CQ4&lt;IF(Assumptions!$B$67=1,Assumptions!$B$68,Assumptions!$B$60+1),CP10,0)</f>
        <v>0</v>
      </c>
      <c r="CR6" s="64">
        <f>IF(CR4&lt;IF(Assumptions!$B$67=1,Assumptions!$B$68,Assumptions!$B$60+1),CQ10,0)</f>
        <v>0</v>
      </c>
      <c r="CS6" s="64">
        <f>IF(CS4&lt;IF(Assumptions!$B$67=1,Assumptions!$B$68,Assumptions!$B$60+1),CR10,0)</f>
        <v>0</v>
      </c>
      <c r="CT6" s="64">
        <f>IF(CT4&lt;IF(Assumptions!$B$67=1,Assumptions!$B$68,Assumptions!$B$60+1),CS10,0)</f>
        <v>0</v>
      </c>
      <c r="CU6" s="64">
        <f>IF(CU4&lt;IF(Assumptions!$B$67=1,Assumptions!$B$68,Assumptions!$B$60+1),CT10,0)</f>
        <v>0</v>
      </c>
      <c r="CV6" s="64">
        <f>IF(CV4&lt;IF(Assumptions!$B$67=1,Assumptions!$B$68,Assumptions!$B$60+1),CU10,0)</f>
        <v>0</v>
      </c>
      <c r="CW6" s="64">
        <f>IF(CW4&lt;IF(Assumptions!$B$67=1,Assumptions!$B$68,Assumptions!$B$60+1),CV10,0)</f>
        <v>0</v>
      </c>
      <c r="CX6" s="64">
        <f>IF(CX4&lt;IF(Assumptions!$B$67=1,Assumptions!$B$68,Assumptions!$B$60+1),CW10,0)</f>
        <v>0</v>
      </c>
      <c r="CY6" s="64">
        <f>IF(CY4&lt;IF(Assumptions!$B$67=1,Assumptions!$B$68,Assumptions!$B$60+1),CX10,0)</f>
        <v>0</v>
      </c>
      <c r="CZ6" s="64">
        <f>IF(CZ4&lt;IF(Assumptions!$B$67=1,Assumptions!$B$68,Assumptions!$B$60+1),CY10,0)</f>
        <v>0</v>
      </c>
      <c r="DA6" s="64">
        <f>IF(DA4&lt;IF(Assumptions!$B$67=1,Assumptions!$B$68,Assumptions!$B$60+1),CZ10,0)</f>
        <v>0</v>
      </c>
      <c r="DB6" s="64">
        <f>IF(DB4&lt;IF(Assumptions!$B$67=1,Assumptions!$B$68,Assumptions!$B$60+1),DA10,0)</f>
        <v>0</v>
      </c>
      <c r="DC6" s="64">
        <f>IF(DC4&lt;IF(Assumptions!$B$67=1,Assumptions!$B$68,Assumptions!$B$60+1),DB10,0)</f>
        <v>0</v>
      </c>
      <c r="DD6" s="64">
        <f>IF(DD4&lt;IF(Assumptions!$B$67=1,Assumptions!$B$68,Assumptions!$B$60+1),DC10,0)</f>
        <v>0</v>
      </c>
      <c r="DE6" s="64">
        <f>IF(DE4&lt;IF(Assumptions!$B$67=1,Assumptions!$B$68,Assumptions!$B$60+1),DD10,0)</f>
        <v>0</v>
      </c>
      <c r="DF6" s="64">
        <f>IF(DF4&lt;IF(Assumptions!$B$67=1,Assumptions!$B$68,Assumptions!$B$60+1),DE10,0)</f>
        <v>0</v>
      </c>
      <c r="DG6" s="64">
        <f>IF(DG4&lt;IF(Assumptions!$B$67=1,Assumptions!$B$68,Assumptions!$B$60+1),DF10,0)</f>
        <v>0</v>
      </c>
      <c r="DH6" s="64">
        <f>IF(DH4&lt;IF(Assumptions!$B$67=1,Assumptions!$B$68,Assumptions!$B$60+1),DG10,0)</f>
        <v>0</v>
      </c>
      <c r="DI6" s="64">
        <f>IF(DI4&lt;IF(Assumptions!$B$67=1,Assumptions!$B$68,Assumptions!$B$60+1),DH10,0)</f>
        <v>0</v>
      </c>
      <c r="DJ6" s="64">
        <f>IF(DJ4&lt;IF(Assumptions!$B$67=1,Assumptions!$B$68,Assumptions!$B$60+1),DI10,0)</f>
        <v>0</v>
      </c>
      <c r="DK6" s="64">
        <f>IF(DK4&lt;IF(Assumptions!$B$67=1,Assumptions!$B$68,Assumptions!$B$60+1),DJ10,0)</f>
        <v>0</v>
      </c>
      <c r="DL6" s="64">
        <f>IF(DL4&lt;IF(Assumptions!$B$67=1,Assumptions!$B$68,Assumptions!$B$60+1),DK10,0)</f>
        <v>0</v>
      </c>
      <c r="DM6" s="64">
        <f>IF(DM4&lt;IF(Assumptions!$B$67=1,Assumptions!$B$68,Assumptions!$B$60+1),DL10,0)</f>
        <v>0</v>
      </c>
      <c r="DN6" s="64">
        <f>IF(DN4&lt;IF(Assumptions!$B$67=1,Assumptions!$B$68,Assumptions!$B$60+1),DM10,0)</f>
        <v>0</v>
      </c>
      <c r="DO6" s="64">
        <f>IF(DO4&lt;IF(Assumptions!$B$67=1,Assumptions!$B$68,Assumptions!$B$60+1),DN10,0)</f>
        <v>0</v>
      </c>
      <c r="DP6" s="64">
        <f>IF(DP4&lt;IF(Assumptions!$B$67=1,Assumptions!$B$68,Assumptions!$B$60+1),DO10,0)</f>
        <v>0</v>
      </c>
      <c r="DQ6" s="64">
        <f>IF(DQ4&lt;IF(Assumptions!$B$67=1,Assumptions!$B$68,Assumptions!$B$60+1),DP10,0)</f>
        <v>0</v>
      </c>
      <c r="DR6" s="64">
        <f>IF(DR4&lt;IF(Assumptions!$B$67=1,Assumptions!$B$68,Assumptions!$B$60+1),DQ10,0)</f>
        <v>0</v>
      </c>
      <c r="DS6" s="64">
        <f>IF(DS4&lt;IF(Assumptions!$B$67=1,Assumptions!$B$68,Assumptions!$B$60+1),DR10,0)</f>
        <v>0</v>
      </c>
    </row>
    <row r="7" spans="1:123" x14ac:dyDescent="0.25">
      <c r="A7" s="51" t="s">
        <v>332</v>
      </c>
      <c r="D7" s="64">
        <f>IF(D4&lt;IF(Assumptions!$B$67=1,Assumptions!$B$68,Assumptions!$B$60+1),D6*Assumptions!$B$88,0)</f>
        <v>4929.166666666667</v>
      </c>
      <c r="E7" s="64">
        <f>IF(E4&lt;IF(Assumptions!$B$67=1,Assumptions!$B$68,Assumptions!$B$60+1),E6*Assumptions!$B$88,0)</f>
        <v>4929.166666666667</v>
      </c>
      <c r="F7" s="64">
        <f>IF(F4&lt;IF(Assumptions!$B$67=1,Assumptions!$B$68,Assumptions!$B$60+1),F6*Assumptions!$B$88,0)</f>
        <v>4929.166666666667</v>
      </c>
      <c r="G7" s="64">
        <f>IF(G4&lt;IF(Assumptions!$B$67=1,Assumptions!$B$68,Assumptions!$B$60+1),G6*Assumptions!$B$88,0)</f>
        <v>4929.166666666667</v>
      </c>
      <c r="H7" s="64">
        <f>IF(H4&lt;IF(Assumptions!$B$67=1,Assumptions!$B$68,Assumptions!$B$60+1),H6*Assumptions!$B$88,0)</f>
        <v>4929.166666666667</v>
      </c>
      <c r="I7" s="64">
        <f>IF(I4&lt;IF(Assumptions!$B$67=1,Assumptions!$B$68,Assumptions!$B$60+1),I6*Assumptions!$B$88,0)</f>
        <v>4929.166666666667</v>
      </c>
      <c r="J7" s="64">
        <f>IF(J4&lt;IF(Assumptions!$B$67=1,Assumptions!$B$68,Assumptions!$B$60+1),J6*Assumptions!$B$88,0)</f>
        <v>4929.166666666667</v>
      </c>
      <c r="K7" s="64">
        <f>IF(K4&lt;IF(Assumptions!$B$67=1,Assumptions!$B$68,Assumptions!$B$60+1),K6*Assumptions!$B$88,0)</f>
        <v>4929.166666666667</v>
      </c>
      <c r="L7" s="64">
        <f>IF(L4&lt;IF(Assumptions!$B$67=1,Assumptions!$B$68,Assumptions!$B$60+1),L6*Assumptions!$B$88,0)</f>
        <v>4929.166666666667</v>
      </c>
      <c r="M7" s="64">
        <f>IF(M4&lt;IF(Assumptions!$B$67=1,Assumptions!$B$68,Assumptions!$B$60+1),M6*Assumptions!$B$88,0)</f>
        <v>4929.166666666667</v>
      </c>
      <c r="N7" s="64">
        <f>IF(N4&lt;IF(Assumptions!$B$67=1,Assumptions!$B$68,Assumptions!$B$60+1),N6*Assumptions!$B$88,0)</f>
        <v>4929.166666666667</v>
      </c>
      <c r="O7" s="64">
        <f>IF(O4&lt;IF(Assumptions!$B$67=1,Assumptions!$B$68,Assumptions!$B$60+1),O6*Assumptions!$B$88,0)</f>
        <v>4929.166666666667</v>
      </c>
      <c r="P7" s="64">
        <f>IF(P4&lt;IF(Assumptions!$B$67=1,Assumptions!$B$68,Assumptions!$B$60+1),P6*Assumptions!$B$88,0)</f>
        <v>4929.166666666667</v>
      </c>
      <c r="Q7" s="64">
        <f>IF(Q4&lt;IF(Assumptions!$B$67=1,Assumptions!$B$68,Assumptions!$B$60+1),Q6*Assumptions!$B$88,0)</f>
        <v>4929.166666666667</v>
      </c>
      <c r="R7" s="64">
        <f>IF(R4&lt;IF(Assumptions!$B$67=1,Assumptions!$B$68,Assumptions!$B$60+1),R6*Assumptions!$B$88,0)</f>
        <v>4929.166666666667</v>
      </c>
      <c r="S7" s="64">
        <f>IF(S4&lt;IF(Assumptions!$B$67=1,Assumptions!$B$68,Assumptions!$B$60+1),S6*Assumptions!$B$88,0)</f>
        <v>4929.166666666667</v>
      </c>
      <c r="T7" s="64">
        <f>IF(T4&lt;IF(Assumptions!$B$67=1,Assumptions!$B$68,Assumptions!$B$60+1),T6*Assumptions!$B$88,0)</f>
        <v>4929.166666666667</v>
      </c>
      <c r="U7" s="64">
        <f>IF(U4&lt;IF(Assumptions!$B$67=1,Assumptions!$B$68,Assumptions!$B$60+1),U6*Assumptions!$B$88,0)</f>
        <v>4929.166666666667</v>
      </c>
      <c r="V7" s="64">
        <f>IF(V4&lt;IF(Assumptions!$B$67=1,Assumptions!$B$68,Assumptions!$B$60+1),V6*Assumptions!$B$88,0)</f>
        <v>4929.166666666667</v>
      </c>
      <c r="W7" s="64">
        <f>IF(W4&lt;IF(Assumptions!$B$67=1,Assumptions!$B$68,Assumptions!$B$60+1),W6*Assumptions!$B$88,0)</f>
        <v>4929.166666666667</v>
      </c>
      <c r="X7" s="64">
        <f>IF(X4&lt;IF(Assumptions!$B$67=1,Assumptions!$B$68,Assumptions!$B$60+1),X6*Assumptions!$B$88,0)</f>
        <v>4929.166666666667</v>
      </c>
      <c r="Y7" s="64">
        <f>IF(Y4&lt;IF(Assumptions!$B$67=1,Assumptions!$B$68,Assumptions!$B$60+1),Y6*Assumptions!$B$88,0)</f>
        <v>4929.166666666667</v>
      </c>
      <c r="Z7" s="64">
        <f>IF(Z4&lt;IF(Assumptions!$B$67=1,Assumptions!$B$68,Assumptions!$B$60+1),Z6*Assumptions!$B$88,0)</f>
        <v>4929.166666666667</v>
      </c>
      <c r="AA7" s="64">
        <f>IF(AA4&lt;IF(Assumptions!$B$67=1,Assumptions!$B$68,Assumptions!$B$60+1),AA6*Assumptions!$B$88,0)</f>
        <v>4929.166666666667</v>
      </c>
      <c r="AB7" s="64">
        <f>IF(AB4&lt;IF(Assumptions!$B$67=1,Assumptions!$B$68,Assumptions!$B$60+1),AB6*Assumptions!$B$88,0)</f>
        <v>4929.166666666667</v>
      </c>
      <c r="AC7" s="64">
        <f>IF(AC4&lt;IF(Assumptions!$B$67=1,Assumptions!$B$68,Assumptions!$B$60+1),AC6*Assumptions!$B$88,0)</f>
        <v>4924.710633119771</v>
      </c>
      <c r="AD7" s="64">
        <f>IF(AD4&lt;IF(Assumptions!$B$67=1,Assumptions!$B$68,Assumptions!$B$60+1),AD6*Assumptions!$B$88,0)</f>
        <v>4920.2304627244948</v>
      </c>
      <c r="AE7" s="64">
        <f>IF(AE4&lt;IF(Assumptions!$B$67=1,Assumptions!$B$68,Assumptions!$B$60+1),AE6*Assumptions!$B$88,0)</f>
        <v>4915.7260247395789</v>
      </c>
      <c r="AF7" s="64">
        <f>IF(AF4&lt;IF(Assumptions!$B$67=1,Assumptions!$B$68,Assumptions!$B$60+1),AF6*Assumptions!$B$88,0)</f>
        <v>4911.1971877155775</v>
      </c>
      <c r="AG7" s="64">
        <f>IF(AG4&lt;IF(Assumptions!$B$67=1,Assumptions!$B$68,Assumptions!$B$60+1),AG6*Assumptions!$B$88,0)</f>
        <v>4906.6438194910297</v>
      </c>
      <c r="AH7" s="64">
        <f>IF(AH4&lt;IF(Assumptions!$B$67=1,Assumptions!$B$68,Assumptions!$B$60+1),AH6*Assumptions!$B$88,0)</f>
        <v>4902.0657871885996</v>
      </c>
      <c r="AI7" s="64">
        <f>IF(AI4&lt;IF(Assumptions!$B$67=1,Assumptions!$B$68,Assumptions!$B$60+1),AI6*Assumptions!$B$88,0)</f>
        <v>4897.4629572111971</v>
      </c>
      <c r="AJ7" s="64">
        <f>IF(AJ4&lt;IF(Assumptions!$B$67=1,Assumptions!$B$68,Assumptions!$B$60+1),AJ6*Assumptions!$B$88,0)</f>
        <v>4892.8351952380845</v>
      </c>
      <c r="AK7" s="64">
        <f>IF(AK4&lt;IF(Assumptions!$B$67=1,Assumptions!$B$68,Assumptions!$B$60+1),AK6*Assumptions!$B$88,0)</f>
        <v>4888.1823662209499</v>
      </c>
      <c r="AL7" s="64">
        <f>IF(AL4&lt;IF(Assumptions!$B$67=1,Assumptions!$B$68,Assumptions!$B$60+1),AL6*Assumptions!$B$88,0)</f>
        <v>4883.5043343799725</v>
      </c>
      <c r="AM7" s="64">
        <f>IF(AM4&lt;IF(Assumptions!$B$67=1,Assumptions!$B$68,Assumptions!$B$60+1),AM6*Assumptions!$B$88,0)</f>
        <v>0</v>
      </c>
      <c r="AN7" s="64">
        <f>IF(AN4&lt;IF(Assumptions!$B$67=1,Assumptions!$B$68,Assumptions!$B$60+1),AN6*Assumptions!$B$88,0)</f>
        <v>0</v>
      </c>
      <c r="AO7" s="64">
        <f>IF(AO4&lt;IF(Assumptions!$B$67=1,Assumptions!$B$68,Assumptions!$B$60+1),AO6*Assumptions!$B$88,0)</f>
        <v>0</v>
      </c>
      <c r="AP7" s="64">
        <f>IF(AP4&lt;IF(Assumptions!$B$67=1,Assumptions!$B$68,Assumptions!$B$60+1),AP6*Assumptions!$B$88,0)</f>
        <v>0</v>
      </c>
      <c r="AQ7" s="64">
        <f>IF(AQ4&lt;IF(Assumptions!$B$67=1,Assumptions!$B$68,Assumptions!$B$60+1),AQ6*Assumptions!$B$88,0)</f>
        <v>0</v>
      </c>
      <c r="AR7" s="64">
        <f>IF(AR4&lt;IF(Assumptions!$B$67=1,Assumptions!$B$68,Assumptions!$B$60+1),AR6*Assumptions!$B$88,0)</f>
        <v>0</v>
      </c>
      <c r="AS7" s="64">
        <f>IF(AS4&lt;IF(Assumptions!$B$67=1,Assumptions!$B$68,Assumptions!$B$60+1),AS6*Assumptions!$B$88,0)</f>
        <v>0</v>
      </c>
      <c r="AT7" s="64">
        <f>IF(AT4&lt;IF(Assumptions!$B$67=1,Assumptions!$B$68,Assumptions!$B$60+1),AT6*Assumptions!$B$88,0)</f>
        <v>0</v>
      </c>
      <c r="AU7" s="64">
        <f>IF(AU4&lt;IF(Assumptions!$B$67=1,Assumptions!$B$68,Assumptions!$B$60+1),AU6*Assumptions!$B$88,0)</f>
        <v>0</v>
      </c>
      <c r="AV7" s="64">
        <f>IF(AV4&lt;IF(Assumptions!$B$67=1,Assumptions!$B$68,Assumptions!$B$60+1),AV6*Assumptions!$B$88,0)</f>
        <v>0</v>
      </c>
      <c r="AW7" s="64">
        <f>IF(AW4&lt;IF(Assumptions!$B$67=1,Assumptions!$B$68,Assumptions!$B$60+1),AW6*Assumptions!$B$88,0)</f>
        <v>0</v>
      </c>
      <c r="AX7" s="64">
        <f>IF(AX4&lt;IF(Assumptions!$B$67=1,Assumptions!$B$68,Assumptions!$B$60+1),AX6*Assumptions!$B$88,0)</f>
        <v>0</v>
      </c>
      <c r="AY7" s="64">
        <f>IF(AY4&lt;IF(Assumptions!$B$67=1,Assumptions!$B$68,Assumptions!$B$60+1),AY6*Assumptions!$B$88,0)</f>
        <v>0</v>
      </c>
      <c r="AZ7" s="64">
        <f>IF(AZ4&lt;IF(Assumptions!$B$67=1,Assumptions!$B$68,Assumptions!$B$60+1),AZ6*Assumptions!$B$88,0)</f>
        <v>0</v>
      </c>
      <c r="BA7" s="64">
        <f>IF(BA4&lt;IF(Assumptions!$B$67=1,Assumptions!$B$68,Assumptions!$B$60+1),BA6*Assumptions!$B$88,0)</f>
        <v>0</v>
      </c>
      <c r="BB7" s="64">
        <f>IF(BB4&lt;IF(Assumptions!$B$67=1,Assumptions!$B$68,Assumptions!$B$60+1),BB6*Assumptions!$B$88,0)</f>
        <v>0</v>
      </c>
      <c r="BC7" s="64">
        <f>IF(BC4&lt;IF(Assumptions!$B$67=1,Assumptions!$B$68,Assumptions!$B$60+1),BC6*Assumptions!$B$88,0)</f>
        <v>0</v>
      </c>
      <c r="BD7" s="64">
        <f>IF(BD4&lt;IF(Assumptions!$B$67=1,Assumptions!$B$68,Assumptions!$B$60+1),BD6*Assumptions!$B$88,0)</f>
        <v>0</v>
      </c>
      <c r="BE7" s="64">
        <f>IF(BE4&lt;IF(Assumptions!$B$67=1,Assumptions!$B$68,Assumptions!$B$60+1),BE6*Assumptions!$B$88,0)</f>
        <v>0</v>
      </c>
      <c r="BF7" s="64">
        <f>IF(BF4&lt;IF(Assumptions!$B$67=1,Assumptions!$B$68,Assumptions!$B$60+1),BF6*Assumptions!$B$88,0)</f>
        <v>0</v>
      </c>
      <c r="BG7" s="64">
        <f>IF(BG4&lt;IF(Assumptions!$B$67=1,Assumptions!$B$68,Assumptions!$B$60+1),BG6*Assumptions!$B$88,0)</f>
        <v>0</v>
      </c>
      <c r="BH7" s="64">
        <f>IF(BH4&lt;IF(Assumptions!$B$67=1,Assumptions!$B$68,Assumptions!$B$60+1),BH6*Assumptions!$B$88,0)</f>
        <v>0</v>
      </c>
      <c r="BI7" s="64">
        <f>IF(BI4&lt;IF(Assumptions!$B$67=1,Assumptions!$B$68,Assumptions!$B$60+1),BI6*Assumptions!$B$88,0)</f>
        <v>0</v>
      </c>
      <c r="BJ7" s="64">
        <f>IF(BJ4&lt;IF(Assumptions!$B$67=1,Assumptions!$B$68,Assumptions!$B$60+1),BJ6*Assumptions!$B$88,0)</f>
        <v>0</v>
      </c>
      <c r="BK7" s="64">
        <f>IF(BK4&lt;IF(Assumptions!$B$67=1,Assumptions!$B$68,Assumptions!$B$60+1),BK6*Assumptions!$B$88,0)</f>
        <v>0</v>
      </c>
      <c r="BL7" s="64">
        <f>IF(BL4&lt;IF(Assumptions!$B$67=1,Assumptions!$B$68,Assumptions!$B$60+1),BL6*Assumptions!$B$88,0)</f>
        <v>0</v>
      </c>
      <c r="BM7" s="64">
        <f>IF(BM4&lt;IF(Assumptions!$B$67=1,Assumptions!$B$68,Assumptions!$B$60+1),BM6*Assumptions!$B$88,0)</f>
        <v>0</v>
      </c>
      <c r="BN7" s="64">
        <f>IF(BN4&lt;IF(Assumptions!$B$67=1,Assumptions!$B$68,Assumptions!$B$60+1),BN6*Assumptions!$B$88,0)</f>
        <v>0</v>
      </c>
      <c r="BO7" s="64">
        <f>IF(BO4&lt;IF(Assumptions!$B$67=1,Assumptions!$B$68,Assumptions!$B$60+1),BO6*Assumptions!$B$88,0)</f>
        <v>0</v>
      </c>
      <c r="BP7" s="64">
        <f>IF(BP4&lt;IF(Assumptions!$B$67=1,Assumptions!$B$68,Assumptions!$B$60+1),BP6*Assumptions!$B$88,0)</f>
        <v>0</v>
      </c>
      <c r="BQ7" s="64">
        <f>IF(BQ4&lt;IF(Assumptions!$B$67=1,Assumptions!$B$68,Assumptions!$B$60+1),BQ6*Assumptions!$B$88,0)</f>
        <v>0</v>
      </c>
      <c r="BR7" s="64">
        <f>IF(BR4&lt;IF(Assumptions!$B$67=1,Assumptions!$B$68,Assumptions!$B$60+1),BR6*Assumptions!$B$88,0)</f>
        <v>0</v>
      </c>
      <c r="BS7" s="64">
        <f>IF(BS4&lt;IF(Assumptions!$B$67=1,Assumptions!$B$68,Assumptions!$B$60+1),BS6*Assumptions!$B$88,0)</f>
        <v>0</v>
      </c>
      <c r="BT7" s="64">
        <f>IF(BT4&lt;IF(Assumptions!$B$67=1,Assumptions!$B$68,Assumptions!$B$60+1),BT6*Assumptions!$B$88,0)</f>
        <v>0</v>
      </c>
      <c r="BU7" s="64">
        <f>IF(BU4&lt;IF(Assumptions!$B$67=1,Assumptions!$B$68,Assumptions!$B$60+1),BU6*Assumptions!$B$88,0)</f>
        <v>0</v>
      </c>
      <c r="BV7" s="64">
        <f>IF(BV4&lt;IF(Assumptions!$B$67=1,Assumptions!$B$68,Assumptions!$B$60+1),BV6*Assumptions!$B$88,0)</f>
        <v>0</v>
      </c>
      <c r="BW7" s="64">
        <f>IF(BW4&lt;IF(Assumptions!$B$67=1,Assumptions!$B$68,Assumptions!$B$60+1),BW6*Assumptions!$B$88,0)</f>
        <v>0</v>
      </c>
      <c r="BX7" s="64">
        <f>IF(BX4&lt;IF(Assumptions!$B$67=1,Assumptions!$B$68,Assumptions!$B$60+1),BX6*Assumptions!$B$88,0)</f>
        <v>0</v>
      </c>
      <c r="BY7" s="64">
        <f>IF(BY4&lt;IF(Assumptions!$B$67=1,Assumptions!$B$68,Assumptions!$B$60+1),BY6*Assumptions!$B$88,0)</f>
        <v>0</v>
      </c>
      <c r="BZ7" s="64">
        <f>IF(BZ4&lt;IF(Assumptions!$B$67=1,Assumptions!$B$68,Assumptions!$B$60+1),BZ6*Assumptions!$B$88,0)</f>
        <v>0</v>
      </c>
      <c r="CA7" s="64">
        <f>IF(CA4&lt;IF(Assumptions!$B$67=1,Assumptions!$B$68,Assumptions!$B$60+1),CA6*Assumptions!$B$88,0)</f>
        <v>0</v>
      </c>
      <c r="CB7" s="64">
        <f>IF(CB4&lt;IF(Assumptions!$B$67=1,Assumptions!$B$68,Assumptions!$B$60+1),CB6*Assumptions!$B$88,0)</f>
        <v>0</v>
      </c>
      <c r="CC7" s="64">
        <f>IF(CC4&lt;IF(Assumptions!$B$67=1,Assumptions!$B$68,Assumptions!$B$60+1),CC6*Assumptions!$B$88,0)</f>
        <v>0</v>
      </c>
      <c r="CD7" s="64">
        <f>IF(CD4&lt;IF(Assumptions!$B$67=1,Assumptions!$B$68,Assumptions!$B$60+1),CD6*Assumptions!$B$88,0)</f>
        <v>0</v>
      </c>
      <c r="CE7" s="64">
        <f>IF(CE4&lt;IF(Assumptions!$B$67=1,Assumptions!$B$68,Assumptions!$B$60+1),CE6*Assumptions!$B$88,0)</f>
        <v>0</v>
      </c>
      <c r="CF7" s="64">
        <f>IF(CF4&lt;IF(Assumptions!$B$67=1,Assumptions!$B$68,Assumptions!$B$60+1),CF6*Assumptions!$B$88,0)</f>
        <v>0</v>
      </c>
      <c r="CG7" s="64">
        <f>IF(CG4&lt;IF(Assumptions!$B$67=1,Assumptions!$B$68,Assumptions!$B$60+1),CG6*Assumptions!$B$88,0)</f>
        <v>0</v>
      </c>
      <c r="CH7" s="64">
        <f>IF(CH4&lt;IF(Assumptions!$B$67=1,Assumptions!$B$68,Assumptions!$B$60+1),CH6*Assumptions!$B$88,0)</f>
        <v>0</v>
      </c>
      <c r="CI7" s="64">
        <f>IF(CI4&lt;IF(Assumptions!$B$67=1,Assumptions!$B$68,Assumptions!$B$60+1),CI6*Assumptions!$B$88,0)</f>
        <v>0</v>
      </c>
      <c r="CJ7" s="64">
        <f>IF(CJ4&lt;IF(Assumptions!$B$67=1,Assumptions!$B$68,Assumptions!$B$60+1),CJ6*Assumptions!$B$88,0)</f>
        <v>0</v>
      </c>
      <c r="CK7" s="64">
        <f>IF(CK4&lt;IF(Assumptions!$B$67=1,Assumptions!$B$68,Assumptions!$B$60+1),CK6*Assumptions!$B$88,0)</f>
        <v>0</v>
      </c>
      <c r="CL7" s="64">
        <f>IF(CL4&lt;IF(Assumptions!$B$67=1,Assumptions!$B$68,Assumptions!$B$60+1),CL6*Assumptions!$B$88,0)</f>
        <v>0</v>
      </c>
      <c r="CM7" s="64">
        <f>IF(CM4&lt;IF(Assumptions!$B$67=1,Assumptions!$B$68,Assumptions!$B$60+1),CM6*Assumptions!$B$88,0)</f>
        <v>0</v>
      </c>
      <c r="CN7" s="64">
        <f>IF(CN4&lt;IF(Assumptions!$B$67=1,Assumptions!$B$68,Assumptions!$B$60+1),CN6*Assumptions!$B$88,0)</f>
        <v>0</v>
      </c>
      <c r="CO7" s="64">
        <f>IF(CO4&lt;IF(Assumptions!$B$67=1,Assumptions!$B$68,Assumptions!$B$60+1),CO6*Assumptions!$B$88,0)</f>
        <v>0</v>
      </c>
      <c r="CP7" s="64">
        <f>IF(CP4&lt;IF(Assumptions!$B$67=1,Assumptions!$B$68,Assumptions!$B$60+1),CP6*Assumptions!$B$88,0)</f>
        <v>0</v>
      </c>
      <c r="CQ7" s="64">
        <f>IF(CQ4&lt;IF(Assumptions!$B$67=1,Assumptions!$B$68,Assumptions!$B$60+1),CQ6*Assumptions!$B$88,0)</f>
        <v>0</v>
      </c>
      <c r="CR7" s="64">
        <f>IF(CR4&lt;IF(Assumptions!$B$67=1,Assumptions!$B$68,Assumptions!$B$60+1),CR6*Assumptions!$B$88,0)</f>
        <v>0</v>
      </c>
      <c r="CS7" s="64">
        <f>IF(CS4&lt;IF(Assumptions!$B$67=1,Assumptions!$B$68,Assumptions!$B$60+1),CS6*Assumptions!$B$88,0)</f>
        <v>0</v>
      </c>
      <c r="CT7" s="64">
        <f>IF(CT4&lt;IF(Assumptions!$B$67=1,Assumptions!$B$68,Assumptions!$B$60+1),CT6*Assumptions!$B$88,0)</f>
        <v>0</v>
      </c>
      <c r="CU7" s="64">
        <f>IF(CU4&lt;IF(Assumptions!$B$67=1,Assumptions!$B$68,Assumptions!$B$60+1),CU6*Assumptions!$B$88,0)</f>
        <v>0</v>
      </c>
      <c r="CV7" s="64">
        <f>IF(CV4&lt;IF(Assumptions!$B$67=1,Assumptions!$B$68,Assumptions!$B$60+1),CV6*Assumptions!$B$88,0)</f>
        <v>0</v>
      </c>
      <c r="CW7" s="64">
        <f>IF(CW4&lt;IF(Assumptions!$B$67=1,Assumptions!$B$68,Assumptions!$B$60+1),CW6*Assumptions!$B$88,0)</f>
        <v>0</v>
      </c>
      <c r="CX7" s="64">
        <f>IF(CX4&lt;IF(Assumptions!$B$67=1,Assumptions!$B$68,Assumptions!$B$60+1),CX6*Assumptions!$B$88,0)</f>
        <v>0</v>
      </c>
      <c r="CY7" s="64">
        <f>IF(CY4&lt;IF(Assumptions!$B$67=1,Assumptions!$B$68,Assumptions!$B$60+1),CY6*Assumptions!$B$88,0)</f>
        <v>0</v>
      </c>
      <c r="CZ7" s="64">
        <f>IF(CZ4&lt;IF(Assumptions!$B$67=1,Assumptions!$B$68,Assumptions!$B$60+1),CZ6*Assumptions!$B$88,0)</f>
        <v>0</v>
      </c>
      <c r="DA7" s="64">
        <f>IF(DA4&lt;IF(Assumptions!$B$67=1,Assumptions!$B$68,Assumptions!$B$60+1),DA6*Assumptions!$B$88,0)</f>
        <v>0</v>
      </c>
      <c r="DB7" s="64">
        <f>IF(DB4&lt;IF(Assumptions!$B$67=1,Assumptions!$B$68,Assumptions!$B$60+1),DB6*Assumptions!$B$88,0)</f>
        <v>0</v>
      </c>
      <c r="DC7" s="64">
        <f>IF(DC4&lt;IF(Assumptions!$B$67=1,Assumptions!$B$68,Assumptions!$B$60+1),DC6*Assumptions!$B$88,0)</f>
        <v>0</v>
      </c>
      <c r="DD7" s="64">
        <f>IF(DD4&lt;IF(Assumptions!$B$67=1,Assumptions!$B$68,Assumptions!$B$60+1),DD6*Assumptions!$B$88,0)</f>
        <v>0</v>
      </c>
      <c r="DE7" s="64">
        <f>IF(DE4&lt;IF(Assumptions!$B$67=1,Assumptions!$B$68,Assumptions!$B$60+1),DE6*Assumptions!$B$88,0)</f>
        <v>0</v>
      </c>
      <c r="DF7" s="64">
        <f>IF(DF4&lt;IF(Assumptions!$B$67=1,Assumptions!$B$68,Assumptions!$B$60+1),DF6*Assumptions!$B$88,0)</f>
        <v>0</v>
      </c>
      <c r="DG7" s="64">
        <f>IF(DG4&lt;IF(Assumptions!$B$67=1,Assumptions!$B$68,Assumptions!$B$60+1),DG6*Assumptions!$B$88,0)</f>
        <v>0</v>
      </c>
      <c r="DH7" s="64">
        <f>IF(DH4&lt;IF(Assumptions!$B$67=1,Assumptions!$B$68,Assumptions!$B$60+1),DH6*Assumptions!$B$88,0)</f>
        <v>0</v>
      </c>
      <c r="DI7" s="64">
        <f>IF(DI4&lt;IF(Assumptions!$B$67=1,Assumptions!$B$68,Assumptions!$B$60+1),DI6*Assumptions!$B$88,0)</f>
        <v>0</v>
      </c>
      <c r="DJ7" s="64">
        <f>IF(DJ4&lt;IF(Assumptions!$B$67=1,Assumptions!$B$68,Assumptions!$B$60+1),DJ6*Assumptions!$B$88,0)</f>
        <v>0</v>
      </c>
      <c r="DK7" s="64">
        <f>IF(DK4&lt;IF(Assumptions!$B$67=1,Assumptions!$B$68,Assumptions!$B$60+1),DK6*Assumptions!$B$88,0)</f>
        <v>0</v>
      </c>
      <c r="DL7" s="64">
        <f>IF(DL4&lt;IF(Assumptions!$B$67=1,Assumptions!$B$68,Assumptions!$B$60+1),DL6*Assumptions!$B$88,0)</f>
        <v>0</v>
      </c>
      <c r="DM7" s="64">
        <f>IF(DM4&lt;IF(Assumptions!$B$67=1,Assumptions!$B$68,Assumptions!$B$60+1),DM6*Assumptions!$B$88,0)</f>
        <v>0</v>
      </c>
      <c r="DN7" s="64">
        <f>IF(DN4&lt;IF(Assumptions!$B$67=1,Assumptions!$B$68,Assumptions!$B$60+1),DN6*Assumptions!$B$88,0)</f>
        <v>0</v>
      </c>
      <c r="DO7" s="64">
        <f>IF(DO4&lt;IF(Assumptions!$B$67=1,Assumptions!$B$68,Assumptions!$B$60+1),DO6*Assumptions!$B$88,0)</f>
        <v>0</v>
      </c>
      <c r="DP7" s="64">
        <f>IF(DP4&lt;IF(Assumptions!$B$67=1,Assumptions!$B$68,Assumptions!$B$60+1),DP6*Assumptions!$B$88,0)</f>
        <v>0</v>
      </c>
      <c r="DQ7" s="64">
        <f>IF(DQ4&lt;IF(Assumptions!$B$67=1,Assumptions!$B$68,Assumptions!$B$60+1),DQ6*Assumptions!$B$88,0)</f>
        <v>0</v>
      </c>
      <c r="DR7" s="64">
        <f>IF(DR4&lt;IF(Assumptions!$B$67=1,Assumptions!$B$68,Assumptions!$B$60+1),DR6*Assumptions!$B$88,0)</f>
        <v>0</v>
      </c>
      <c r="DS7" s="64">
        <f>IF(DS4&lt;IF(Assumptions!$B$67=1,Assumptions!$B$68,Assumptions!$B$60+1),DS6*Assumptions!$B$88,0)</f>
        <v>0</v>
      </c>
    </row>
    <row r="8" spans="1:123" x14ac:dyDescent="0.25">
      <c r="A8" s="51" t="s">
        <v>333</v>
      </c>
      <c r="D8" s="64">
        <f>IF(D4&lt;IF(Assumptions!$B$67=1,Assumptions!$B$68,Assumptions!$B$60+1),IF(D4&lt;=Assumptions!$B$61,0,(-PMT(Assumptions!$B$88,Assumptions!$B$59,Acquisition!$B$10))-D7),0)</f>
        <v>0</v>
      </c>
      <c r="E8" s="64">
        <f>IF(E4&lt;IF(Assumptions!$B$67=1,Assumptions!$B$68,Assumptions!$B$60+1),IF(E4&lt;=Assumptions!$B$61,0,(-PMT(Assumptions!$B$88,Assumptions!$B$59,Acquisition!$B$10))-E7),0)</f>
        <v>0</v>
      </c>
      <c r="F8" s="64">
        <f>IF(F4&lt;IF(Assumptions!$B$67=1,Assumptions!$B$68,Assumptions!$B$60+1),IF(F4&lt;=Assumptions!$B$61,0,(-PMT(Assumptions!$B$88,Assumptions!$B$59,Acquisition!$B$10))-F7),0)</f>
        <v>0</v>
      </c>
      <c r="G8" s="64">
        <f>IF(G4&lt;IF(Assumptions!$B$67=1,Assumptions!$B$68,Assumptions!$B$60+1),IF(G4&lt;=Assumptions!$B$61,0,(-PMT(Assumptions!$B$88,Assumptions!$B$59,Acquisition!$B$10))-G7),0)</f>
        <v>0</v>
      </c>
      <c r="H8" s="64">
        <f>IF(H4&lt;IF(Assumptions!$B$67=1,Assumptions!$B$68,Assumptions!$B$60+1),IF(H4&lt;=Assumptions!$B$61,0,(-PMT(Assumptions!$B$88,Assumptions!$B$59,Acquisition!$B$10))-H7),0)</f>
        <v>0</v>
      </c>
      <c r="I8" s="64">
        <f>IF(I4&lt;IF(Assumptions!$B$67=1,Assumptions!$B$68,Assumptions!$B$60+1),IF(I4&lt;=Assumptions!$B$61,0,(-PMT(Assumptions!$B$88,Assumptions!$B$59,Acquisition!$B$10))-I7),0)</f>
        <v>0</v>
      </c>
      <c r="J8" s="64">
        <f>IF(J4&lt;IF(Assumptions!$B$67=1,Assumptions!$B$68,Assumptions!$B$60+1),IF(J4&lt;=Assumptions!$B$61,0,(-PMT(Assumptions!$B$88,Assumptions!$B$59,Acquisition!$B$10))-J7),0)</f>
        <v>0</v>
      </c>
      <c r="K8" s="64">
        <f>IF(K4&lt;IF(Assumptions!$B$67=1,Assumptions!$B$68,Assumptions!$B$60+1),IF(K4&lt;=Assumptions!$B$61,0,(-PMT(Assumptions!$B$88,Assumptions!$B$59,Acquisition!$B$10))-K7),0)</f>
        <v>0</v>
      </c>
      <c r="L8" s="64">
        <f>IF(L4&lt;IF(Assumptions!$B$67=1,Assumptions!$B$68,Assumptions!$B$60+1),IF(L4&lt;=Assumptions!$B$61,0,(-PMT(Assumptions!$B$88,Assumptions!$B$59,Acquisition!$B$10))-L7),0)</f>
        <v>0</v>
      </c>
      <c r="M8" s="64">
        <f>IF(M4&lt;IF(Assumptions!$B$67=1,Assumptions!$B$68,Assumptions!$B$60+1),IF(M4&lt;=Assumptions!$B$61,0,(-PMT(Assumptions!$B$88,Assumptions!$B$59,Acquisition!$B$10))-M7),0)</f>
        <v>0</v>
      </c>
      <c r="N8" s="64">
        <f>IF(N4&lt;IF(Assumptions!$B$67=1,Assumptions!$B$68,Assumptions!$B$60+1),IF(N4&lt;=Assumptions!$B$61,0,(-PMT(Assumptions!$B$88,Assumptions!$B$59,Acquisition!$B$10))-N7),0)</f>
        <v>0</v>
      </c>
      <c r="O8" s="64">
        <f>IF(O4&lt;IF(Assumptions!$B$67=1,Assumptions!$B$68,Assumptions!$B$60+1),IF(O4&lt;=Assumptions!$B$61,0,(-PMT(Assumptions!$B$88,Assumptions!$B$59,Acquisition!$B$10))-O7),0)</f>
        <v>0</v>
      </c>
      <c r="P8" s="64">
        <f>IF(P4&lt;IF(Assumptions!$B$67=1,Assumptions!$B$68,Assumptions!$B$60+1),IF(P4&lt;=Assumptions!$B$61,0,(-PMT(Assumptions!$B$88,Assumptions!$B$59,Acquisition!$B$10))-P7),0)</f>
        <v>0</v>
      </c>
      <c r="Q8" s="64">
        <f>IF(Q4&lt;IF(Assumptions!$B$67=1,Assumptions!$B$68,Assumptions!$B$60+1),IF(Q4&lt;=Assumptions!$B$61,0,(-PMT(Assumptions!$B$88,Assumptions!$B$59,Acquisition!$B$10))-Q7),0)</f>
        <v>0</v>
      </c>
      <c r="R8" s="64">
        <f>IF(R4&lt;IF(Assumptions!$B$67=1,Assumptions!$B$68,Assumptions!$B$60+1),IF(R4&lt;=Assumptions!$B$61,0,(-PMT(Assumptions!$B$88,Assumptions!$B$59,Acquisition!$B$10))-R7),0)</f>
        <v>0</v>
      </c>
      <c r="S8" s="64">
        <f>IF(S4&lt;IF(Assumptions!$B$67=1,Assumptions!$B$68,Assumptions!$B$60+1),IF(S4&lt;=Assumptions!$B$61,0,(-PMT(Assumptions!$B$88,Assumptions!$B$59,Acquisition!$B$10))-S7),0)</f>
        <v>0</v>
      </c>
      <c r="T8" s="64">
        <f>IF(T4&lt;IF(Assumptions!$B$67=1,Assumptions!$B$68,Assumptions!$B$60+1),IF(T4&lt;=Assumptions!$B$61,0,(-PMT(Assumptions!$B$88,Assumptions!$B$59,Acquisition!$B$10))-T7),0)</f>
        <v>0</v>
      </c>
      <c r="U8" s="64">
        <f>IF(U4&lt;IF(Assumptions!$B$67=1,Assumptions!$B$68,Assumptions!$B$60+1),IF(U4&lt;=Assumptions!$B$61,0,(-PMT(Assumptions!$B$88,Assumptions!$B$59,Acquisition!$B$10))-U7),0)</f>
        <v>0</v>
      </c>
      <c r="V8" s="64">
        <f>IF(V4&lt;IF(Assumptions!$B$67=1,Assumptions!$B$68,Assumptions!$B$60+1),IF(V4&lt;=Assumptions!$B$61,0,(-PMT(Assumptions!$B$88,Assumptions!$B$59,Acquisition!$B$10))-V7),0)</f>
        <v>0</v>
      </c>
      <c r="W8" s="64">
        <f>IF(W4&lt;IF(Assumptions!$B$67=1,Assumptions!$B$68,Assumptions!$B$60+1),IF(W4&lt;=Assumptions!$B$61,0,(-PMT(Assumptions!$B$88,Assumptions!$B$59,Acquisition!$B$10))-W7),0)</f>
        <v>0</v>
      </c>
      <c r="X8" s="64">
        <f>IF(X4&lt;IF(Assumptions!$B$67=1,Assumptions!$B$68,Assumptions!$B$60+1),IF(X4&lt;=Assumptions!$B$61,0,(-PMT(Assumptions!$B$88,Assumptions!$B$59,Acquisition!$B$10))-X7),0)</f>
        <v>0</v>
      </c>
      <c r="Y8" s="64">
        <f>IF(Y4&lt;IF(Assumptions!$B$67=1,Assumptions!$B$68,Assumptions!$B$60+1),IF(Y4&lt;=Assumptions!$B$61,0,(-PMT(Assumptions!$B$88,Assumptions!$B$59,Acquisition!$B$10))-Y7),0)</f>
        <v>0</v>
      </c>
      <c r="Z8" s="64">
        <f>IF(Z4&lt;IF(Assumptions!$B$67=1,Assumptions!$B$68,Assumptions!$B$60+1),IF(Z4&lt;=Assumptions!$B$61,0,(-PMT(Assumptions!$B$88,Assumptions!$B$59,Acquisition!$B$10))-Z7),0)</f>
        <v>0</v>
      </c>
      <c r="AA8" s="64">
        <f>IF(AA4&lt;IF(Assumptions!$B$67=1,Assumptions!$B$68,Assumptions!$B$60+1),IF(AA4&lt;=Assumptions!$B$61,0,(-PMT(Assumptions!$B$88,Assumptions!$B$59,Acquisition!$B$10))-AA7),0)</f>
        <v>0</v>
      </c>
      <c r="AB8" s="64">
        <f>IF(AB4&lt;IF(Assumptions!$B$67=1,Assumptions!$B$68,Assumptions!$B$60+1),IF(AB4&lt;=Assumptions!$B$61,0,(-PMT(Assumptions!$B$88,Assumptions!$B$59,Acquisition!$B$10))-AB7),0)</f>
        <v>822.65234711930316</v>
      </c>
      <c r="AC8" s="64">
        <f>IF(AC4&lt;IF(Assumptions!$B$67=1,Assumptions!$B$68,Assumptions!$B$60+1),IF(AC4&lt;=Assumptions!$B$61,0,(-PMT(Assumptions!$B$88,Assumptions!$B$59,Acquisition!$B$10))-AC7),0)</f>
        <v>827.10838066619908</v>
      </c>
      <c r="AD8" s="64">
        <f>IF(AD4&lt;IF(Assumptions!$B$67=1,Assumptions!$B$68,Assumptions!$B$60+1),IF(AD4&lt;=Assumptions!$B$61,0,(-PMT(Assumptions!$B$88,Assumptions!$B$59,Acquisition!$B$10))-AD7),0)</f>
        <v>831.5885510614753</v>
      </c>
      <c r="AE8" s="64">
        <f>IF(AE4&lt;IF(Assumptions!$B$67=1,Assumptions!$B$68,Assumptions!$B$60+1),IF(AE4&lt;=Assumptions!$B$61,0,(-PMT(Assumptions!$B$88,Assumptions!$B$59,Acquisition!$B$10))-AE7),0)</f>
        <v>836.09298904639127</v>
      </c>
      <c r="AF8" s="64">
        <f>IF(AF4&lt;IF(Assumptions!$B$67=1,Assumptions!$B$68,Assumptions!$B$60+1),IF(AF4&lt;=Assumptions!$B$61,0,(-PMT(Assumptions!$B$88,Assumptions!$B$59,Acquisition!$B$10))-AF7),0)</f>
        <v>840.62182607039267</v>
      </c>
      <c r="AG8" s="64">
        <f>IF(AG4&lt;IF(Assumptions!$B$67=1,Assumptions!$B$68,Assumptions!$B$60+1),IF(AG4&lt;=Assumptions!$B$61,0,(-PMT(Assumptions!$B$88,Assumptions!$B$59,Acquisition!$B$10))-AG7),0)</f>
        <v>845.17519429494041</v>
      </c>
      <c r="AH8" s="64">
        <f>IF(AH4&lt;IF(Assumptions!$B$67=1,Assumptions!$B$68,Assumptions!$B$60+1),IF(AH4&lt;=Assumptions!$B$61,0,(-PMT(Assumptions!$B$88,Assumptions!$B$59,Acquisition!$B$10))-AH7),0)</f>
        <v>849.75322659737049</v>
      </c>
      <c r="AI8" s="64">
        <f>IF(AI4&lt;IF(Assumptions!$B$67=1,Assumptions!$B$68,Assumptions!$B$60+1),IF(AI4&lt;=Assumptions!$B$61,0,(-PMT(Assumptions!$B$88,Assumptions!$B$59,Acquisition!$B$10))-AI7),0)</f>
        <v>854.35605657477299</v>
      </c>
      <c r="AJ8" s="64">
        <f>IF(AJ4&lt;IF(Assumptions!$B$67=1,Assumptions!$B$68,Assumptions!$B$60+1),IF(AJ4&lt;=Assumptions!$B$61,0,(-PMT(Assumptions!$B$88,Assumptions!$B$59,Acquisition!$B$10))-AJ7),0)</f>
        <v>858.98381854788568</v>
      </c>
      <c r="AK8" s="64">
        <f>IF(AK4&lt;IF(Assumptions!$B$67=1,Assumptions!$B$68,Assumptions!$B$60+1),IF(AK4&lt;=Assumptions!$B$61,0,(-PMT(Assumptions!$B$88,Assumptions!$B$59,Acquisition!$B$10))-AK7),0)</f>
        <v>863.63664756502021</v>
      </c>
      <c r="AL8" s="64">
        <f>IF(AL4&lt;IF(Assumptions!$B$67=1,Assumptions!$B$68,Assumptions!$B$60+1),IF(AL4&lt;=Assumptions!$B$61,0,(-PMT(Assumptions!$B$88,Assumptions!$B$59,Acquisition!$B$10))-AL7),0)</f>
        <v>868.31467940599759</v>
      </c>
      <c r="AM8" s="64">
        <f>IF(AM4&lt;IF(Assumptions!$B$67=1,Assumptions!$B$68,Assumptions!$B$60+1),IF(AM4&lt;=Assumptions!$B$61,0,(-PMT(Assumptions!$B$88,Assumptions!$B$59,Acquisition!$B$10))-AM7),0)</f>
        <v>0</v>
      </c>
      <c r="AN8" s="64">
        <f>IF(AN4&lt;IF(Assumptions!$B$67=1,Assumptions!$B$68,Assumptions!$B$60+1),IF(AN4&lt;=Assumptions!$B$61,0,(-PMT(Assumptions!$B$88,Assumptions!$B$59,Acquisition!$B$10))-AN7),0)</f>
        <v>0</v>
      </c>
      <c r="AO8" s="64">
        <f>IF(AO4&lt;IF(Assumptions!$B$67=1,Assumptions!$B$68,Assumptions!$B$60+1),IF(AO4&lt;=Assumptions!$B$61,0,(-PMT(Assumptions!$B$88,Assumptions!$B$59,Acquisition!$B$10))-AO7),0)</f>
        <v>0</v>
      </c>
      <c r="AP8" s="64">
        <f>IF(AP4&lt;IF(Assumptions!$B$67=1,Assumptions!$B$68,Assumptions!$B$60+1),IF(AP4&lt;=Assumptions!$B$61,0,(-PMT(Assumptions!$B$88,Assumptions!$B$59,Acquisition!$B$10))-AP7),0)</f>
        <v>0</v>
      </c>
      <c r="AQ8" s="64">
        <f>IF(AQ4&lt;IF(Assumptions!$B$67=1,Assumptions!$B$68,Assumptions!$B$60+1),IF(AQ4&lt;=Assumptions!$B$61,0,(-PMT(Assumptions!$B$88,Assumptions!$B$59,Acquisition!$B$10))-AQ7),0)</f>
        <v>0</v>
      </c>
      <c r="AR8" s="64">
        <f>IF(AR4&lt;IF(Assumptions!$B$67=1,Assumptions!$B$68,Assumptions!$B$60+1),IF(AR4&lt;=Assumptions!$B$61,0,(-PMT(Assumptions!$B$88,Assumptions!$B$59,Acquisition!$B$10))-AR7),0)</f>
        <v>0</v>
      </c>
      <c r="AS8" s="64">
        <f>IF(AS4&lt;IF(Assumptions!$B$67=1,Assumptions!$B$68,Assumptions!$B$60+1),IF(AS4&lt;=Assumptions!$B$61,0,(-PMT(Assumptions!$B$88,Assumptions!$B$59,Acquisition!$B$10))-AS7),0)</f>
        <v>0</v>
      </c>
      <c r="AT8" s="64">
        <f>IF(AT4&lt;IF(Assumptions!$B$67=1,Assumptions!$B$68,Assumptions!$B$60+1),IF(AT4&lt;=Assumptions!$B$61,0,(-PMT(Assumptions!$B$88,Assumptions!$B$59,Acquisition!$B$10))-AT7),0)</f>
        <v>0</v>
      </c>
      <c r="AU8" s="64">
        <f>IF(AU4&lt;IF(Assumptions!$B$67=1,Assumptions!$B$68,Assumptions!$B$60+1),IF(AU4&lt;=Assumptions!$B$61,0,(-PMT(Assumptions!$B$88,Assumptions!$B$59,Acquisition!$B$10))-AU7),0)</f>
        <v>0</v>
      </c>
      <c r="AV8" s="64">
        <f>IF(AV4&lt;IF(Assumptions!$B$67=1,Assumptions!$B$68,Assumptions!$B$60+1),IF(AV4&lt;=Assumptions!$B$61,0,(-PMT(Assumptions!$B$88,Assumptions!$B$59,Acquisition!$B$10))-AV7),0)</f>
        <v>0</v>
      </c>
      <c r="AW8" s="64">
        <f>IF(AW4&lt;IF(Assumptions!$B$67=1,Assumptions!$B$68,Assumptions!$B$60+1),IF(AW4&lt;=Assumptions!$B$61,0,(-PMT(Assumptions!$B$88,Assumptions!$B$59,Acquisition!$B$10))-AW7),0)</f>
        <v>0</v>
      </c>
      <c r="AX8" s="64">
        <f>IF(AX4&lt;IF(Assumptions!$B$67=1,Assumptions!$B$68,Assumptions!$B$60+1),IF(AX4&lt;=Assumptions!$B$61,0,(-PMT(Assumptions!$B$88,Assumptions!$B$59,Acquisition!$B$10))-AX7),0)</f>
        <v>0</v>
      </c>
      <c r="AY8" s="64">
        <f>IF(AY4&lt;IF(Assumptions!$B$67=1,Assumptions!$B$68,Assumptions!$B$60+1),IF(AY4&lt;=Assumptions!$B$61,0,(-PMT(Assumptions!$B$88,Assumptions!$B$59,Acquisition!$B$10))-AY7),0)</f>
        <v>0</v>
      </c>
      <c r="AZ8" s="64">
        <f>IF(AZ4&lt;IF(Assumptions!$B$67=1,Assumptions!$B$68,Assumptions!$B$60+1),IF(AZ4&lt;=Assumptions!$B$61,0,(-PMT(Assumptions!$B$88,Assumptions!$B$59,Acquisition!$B$10))-AZ7),0)</f>
        <v>0</v>
      </c>
      <c r="BA8" s="64">
        <f>IF(BA4&lt;IF(Assumptions!$B$67=1,Assumptions!$B$68,Assumptions!$B$60+1),IF(BA4&lt;=Assumptions!$B$61,0,(-PMT(Assumptions!$B$88,Assumptions!$B$59,Acquisition!$B$10))-BA7),0)</f>
        <v>0</v>
      </c>
      <c r="BB8" s="64">
        <f>IF(BB4&lt;IF(Assumptions!$B$67=1,Assumptions!$B$68,Assumptions!$B$60+1),IF(BB4&lt;=Assumptions!$B$61,0,(-PMT(Assumptions!$B$88,Assumptions!$B$59,Acquisition!$B$10))-BB7),0)</f>
        <v>0</v>
      </c>
      <c r="BC8" s="64">
        <f>IF(BC4&lt;IF(Assumptions!$B$67=1,Assumptions!$B$68,Assumptions!$B$60+1),IF(BC4&lt;=Assumptions!$B$61,0,(-PMT(Assumptions!$B$88,Assumptions!$B$59,Acquisition!$B$10))-BC7),0)</f>
        <v>0</v>
      </c>
      <c r="BD8" s="64">
        <f>IF(BD4&lt;IF(Assumptions!$B$67=1,Assumptions!$B$68,Assumptions!$B$60+1),IF(BD4&lt;=Assumptions!$B$61,0,(-PMT(Assumptions!$B$88,Assumptions!$B$59,Acquisition!$B$10))-BD7),0)</f>
        <v>0</v>
      </c>
      <c r="BE8" s="64">
        <f>IF(BE4&lt;IF(Assumptions!$B$67=1,Assumptions!$B$68,Assumptions!$B$60+1),IF(BE4&lt;=Assumptions!$B$61,0,(-PMT(Assumptions!$B$88,Assumptions!$B$59,Acquisition!$B$10))-BE7),0)</f>
        <v>0</v>
      </c>
      <c r="BF8" s="64">
        <f>IF(BF4&lt;IF(Assumptions!$B$67=1,Assumptions!$B$68,Assumptions!$B$60+1),IF(BF4&lt;=Assumptions!$B$61,0,(-PMT(Assumptions!$B$88,Assumptions!$B$59,Acquisition!$B$10))-BF7),0)</f>
        <v>0</v>
      </c>
      <c r="BG8" s="64">
        <f>IF(BG4&lt;IF(Assumptions!$B$67=1,Assumptions!$B$68,Assumptions!$B$60+1),IF(BG4&lt;=Assumptions!$B$61,0,(-PMT(Assumptions!$B$88,Assumptions!$B$59,Acquisition!$B$10))-BG7),0)</f>
        <v>0</v>
      </c>
      <c r="BH8" s="64">
        <f>IF(BH4&lt;IF(Assumptions!$B$67=1,Assumptions!$B$68,Assumptions!$B$60+1),IF(BH4&lt;=Assumptions!$B$61,0,(-PMT(Assumptions!$B$88,Assumptions!$B$59,Acquisition!$B$10))-BH7),0)</f>
        <v>0</v>
      </c>
      <c r="BI8" s="64">
        <f>IF(BI4&lt;IF(Assumptions!$B$67=1,Assumptions!$B$68,Assumptions!$B$60+1),IF(BI4&lt;=Assumptions!$B$61,0,(-PMT(Assumptions!$B$88,Assumptions!$B$59,Acquisition!$B$10))-BI7),0)</f>
        <v>0</v>
      </c>
      <c r="BJ8" s="64">
        <f>IF(BJ4&lt;IF(Assumptions!$B$67=1,Assumptions!$B$68,Assumptions!$B$60+1),IF(BJ4&lt;=Assumptions!$B$61,0,(-PMT(Assumptions!$B$88,Assumptions!$B$59,Acquisition!$B$10))-BJ7),0)</f>
        <v>0</v>
      </c>
      <c r="BK8" s="64">
        <f>IF(BK4&lt;IF(Assumptions!$B$67=1,Assumptions!$B$68,Assumptions!$B$60+1),IF(BK4&lt;=Assumptions!$B$61,0,(-PMT(Assumptions!$B$88,Assumptions!$B$59,Acquisition!$B$10))-BK7),0)</f>
        <v>0</v>
      </c>
      <c r="BL8" s="64">
        <f>IF(BL4&lt;IF(Assumptions!$B$67=1,Assumptions!$B$68,Assumptions!$B$60+1),IF(BL4&lt;=Assumptions!$B$61,0,(-PMT(Assumptions!$B$88,Assumptions!$B$59,Acquisition!$B$10))-BL7),0)</f>
        <v>0</v>
      </c>
      <c r="BM8" s="64">
        <f>IF(BM4&lt;IF(Assumptions!$B$67=1,Assumptions!$B$68,Assumptions!$B$60+1),IF(BM4&lt;=Assumptions!$B$61,0,(-PMT(Assumptions!$B$88,Assumptions!$B$59,Acquisition!$B$10))-BM7),0)</f>
        <v>0</v>
      </c>
      <c r="BN8" s="64">
        <f>IF(BN4&lt;IF(Assumptions!$B$67=1,Assumptions!$B$68,Assumptions!$B$60+1),IF(BN4&lt;=Assumptions!$B$61,0,(-PMT(Assumptions!$B$88,Assumptions!$B$59,Acquisition!$B$10))-BN7),0)</f>
        <v>0</v>
      </c>
      <c r="BO8" s="64">
        <f>IF(BO4&lt;IF(Assumptions!$B$67=1,Assumptions!$B$68,Assumptions!$B$60+1),IF(BO4&lt;=Assumptions!$B$61,0,(-PMT(Assumptions!$B$88,Assumptions!$B$59,Acquisition!$B$10))-BO7),0)</f>
        <v>0</v>
      </c>
      <c r="BP8" s="64">
        <f>IF(BP4&lt;IF(Assumptions!$B$67=1,Assumptions!$B$68,Assumptions!$B$60+1),IF(BP4&lt;=Assumptions!$B$61,0,(-PMT(Assumptions!$B$88,Assumptions!$B$59,Acquisition!$B$10))-BP7),0)</f>
        <v>0</v>
      </c>
      <c r="BQ8" s="64">
        <f>IF(BQ4&lt;IF(Assumptions!$B$67=1,Assumptions!$B$68,Assumptions!$B$60+1),IF(BQ4&lt;=Assumptions!$B$61,0,(-PMT(Assumptions!$B$88,Assumptions!$B$59,Acquisition!$B$10))-BQ7),0)</f>
        <v>0</v>
      </c>
      <c r="BR8" s="64">
        <f>IF(BR4&lt;IF(Assumptions!$B$67=1,Assumptions!$B$68,Assumptions!$B$60+1),IF(BR4&lt;=Assumptions!$B$61,0,(-PMT(Assumptions!$B$88,Assumptions!$B$59,Acquisition!$B$10))-BR7),0)</f>
        <v>0</v>
      </c>
      <c r="BS8" s="64">
        <f>IF(BS4&lt;IF(Assumptions!$B$67=1,Assumptions!$B$68,Assumptions!$B$60+1),IF(BS4&lt;=Assumptions!$B$61,0,(-PMT(Assumptions!$B$88,Assumptions!$B$59,Acquisition!$B$10))-BS7),0)</f>
        <v>0</v>
      </c>
      <c r="BT8" s="64">
        <f>IF(BT4&lt;IF(Assumptions!$B$67=1,Assumptions!$B$68,Assumptions!$B$60+1),IF(BT4&lt;=Assumptions!$B$61,0,(-PMT(Assumptions!$B$88,Assumptions!$B$59,Acquisition!$B$10))-BT7),0)</f>
        <v>0</v>
      </c>
      <c r="BU8" s="64">
        <f>IF(BU4&lt;IF(Assumptions!$B$67=1,Assumptions!$B$68,Assumptions!$B$60+1),IF(BU4&lt;=Assumptions!$B$61,0,(-PMT(Assumptions!$B$88,Assumptions!$B$59,Acquisition!$B$10))-BU7),0)</f>
        <v>0</v>
      </c>
      <c r="BV8" s="64">
        <f>IF(BV4&lt;IF(Assumptions!$B$67=1,Assumptions!$B$68,Assumptions!$B$60+1),IF(BV4&lt;=Assumptions!$B$61,0,(-PMT(Assumptions!$B$88,Assumptions!$B$59,Acquisition!$B$10))-BV7),0)</f>
        <v>0</v>
      </c>
      <c r="BW8" s="64">
        <f>IF(BW4&lt;IF(Assumptions!$B$67=1,Assumptions!$B$68,Assumptions!$B$60+1),IF(BW4&lt;=Assumptions!$B$61,0,(-PMT(Assumptions!$B$88,Assumptions!$B$59,Acquisition!$B$10))-BW7),0)</f>
        <v>0</v>
      </c>
      <c r="BX8" s="64">
        <f>IF(BX4&lt;IF(Assumptions!$B$67=1,Assumptions!$B$68,Assumptions!$B$60+1),IF(BX4&lt;=Assumptions!$B$61,0,(-PMT(Assumptions!$B$88,Assumptions!$B$59,Acquisition!$B$10))-BX7),0)</f>
        <v>0</v>
      </c>
      <c r="BY8" s="64">
        <f>IF(BY4&lt;IF(Assumptions!$B$67=1,Assumptions!$B$68,Assumptions!$B$60+1),IF(BY4&lt;=Assumptions!$B$61,0,(-PMT(Assumptions!$B$88,Assumptions!$B$59,Acquisition!$B$10))-BY7),0)</f>
        <v>0</v>
      </c>
      <c r="BZ8" s="64">
        <f>IF(BZ4&lt;IF(Assumptions!$B$67=1,Assumptions!$B$68,Assumptions!$B$60+1),IF(BZ4&lt;=Assumptions!$B$61,0,(-PMT(Assumptions!$B$88,Assumptions!$B$59,Acquisition!$B$10))-BZ7),0)</f>
        <v>0</v>
      </c>
      <c r="CA8" s="64">
        <f>IF(CA4&lt;IF(Assumptions!$B$67=1,Assumptions!$B$68,Assumptions!$B$60+1),IF(CA4&lt;=Assumptions!$B$61,0,(-PMT(Assumptions!$B$88,Assumptions!$B$59,Acquisition!$B$10))-CA7),0)</f>
        <v>0</v>
      </c>
      <c r="CB8" s="64">
        <f>IF(CB4&lt;IF(Assumptions!$B$67=1,Assumptions!$B$68,Assumptions!$B$60+1),IF(CB4&lt;=Assumptions!$B$61,0,(-PMT(Assumptions!$B$88,Assumptions!$B$59,Acquisition!$B$10))-CB7),0)</f>
        <v>0</v>
      </c>
      <c r="CC8" s="64">
        <f>IF(CC4&lt;IF(Assumptions!$B$67=1,Assumptions!$B$68,Assumptions!$B$60+1),IF(CC4&lt;=Assumptions!$B$61,0,(-PMT(Assumptions!$B$88,Assumptions!$B$59,Acquisition!$B$10))-CC7),0)</f>
        <v>0</v>
      </c>
      <c r="CD8" s="64">
        <f>IF(CD4&lt;IF(Assumptions!$B$67=1,Assumptions!$B$68,Assumptions!$B$60+1),IF(CD4&lt;=Assumptions!$B$61,0,(-PMT(Assumptions!$B$88,Assumptions!$B$59,Acquisition!$B$10))-CD7),0)</f>
        <v>0</v>
      </c>
      <c r="CE8" s="64">
        <f>IF(CE4&lt;IF(Assumptions!$B$67=1,Assumptions!$B$68,Assumptions!$B$60+1),IF(CE4&lt;=Assumptions!$B$61,0,(-PMT(Assumptions!$B$88,Assumptions!$B$59,Acquisition!$B$10))-CE7),0)</f>
        <v>0</v>
      </c>
      <c r="CF8" s="64">
        <f>IF(CF4&lt;IF(Assumptions!$B$67=1,Assumptions!$B$68,Assumptions!$B$60+1),IF(CF4&lt;=Assumptions!$B$61,0,(-PMT(Assumptions!$B$88,Assumptions!$B$59,Acquisition!$B$10))-CF7),0)</f>
        <v>0</v>
      </c>
      <c r="CG8" s="64">
        <f>IF(CG4&lt;IF(Assumptions!$B$67=1,Assumptions!$B$68,Assumptions!$B$60+1),IF(CG4&lt;=Assumptions!$B$61,0,(-PMT(Assumptions!$B$88,Assumptions!$B$59,Acquisition!$B$10))-CG7),0)</f>
        <v>0</v>
      </c>
      <c r="CH8" s="64">
        <f>IF(CH4&lt;IF(Assumptions!$B$67=1,Assumptions!$B$68,Assumptions!$B$60+1),IF(CH4&lt;=Assumptions!$B$61,0,(-PMT(Assumptions!$B$88,Assumptions!$B$59,Acquisition!$B$10))-CH7),0)</f>
        <v>0</v>
      </c>
      <c r="CI8" s="64">
        <f>IF(CI4&lt;IF(Assumptions!$B$67=1,Assumptions!$B$68,Assumptions!$B$60+1),IF(CI4&lt;=Assumptions!$B$61,0,(-PMT(Assumptions!$B$88,Assumptions!$B$59,Acquisition!$B$10))-CI7),0)</f>
        <v>0</v>
      </c>
      <c r="CJ8" s="64">
        <f>IF(CJ4&lt;IF(Assumptions!$B$67=1,Assumptions!$B$68,Assumptions!$B$60+1),IF(CJ4&lt;=Assumptions!$B$61,0,(-PMT(Assumptions!$B$88,Assumptions!$B$59,Acquisition!$B$10))-CJ7),0)</f>
        <v>0</v>
      </c>
      <c r="CK8" s="64">
        <f>IF(CK4&lt;IF(Assumptions!$B$67=1,Assumptions!$B$68,Assumptions!$B$60+1),IF(CK4&lt;=Assumptions!$B$61,0,(-PMT(Assumptions!$B$88,Assumptions!$B$59,Acquisition!$B$10))-CK7),0)</f>
        <v>0</v>
      </c>
      <c r="CL8" s="64">
        <f>IF(CL4&lt;IF(Assumptions!$B$67=1,Assumptions!$B$68,Assumptions!$B$60+1),IF(CL4&lt;=Assumptions!$B$61,0,(-PMT(Assumptions!$B$88,Assumptions!$B$59,Acquisition!$B$10))-CL7),0)</f>
        <v>0</v>
      </c>
      <c r="CM8" s="64">
        <f>IF(CM4&lt;IF(Assumptions!$B$67=1,Assumptions!$B$68,Assumptions!$B$60+1),IF(CM4&lt;=Assumptions!$B$61,0,(-PMT(Assumptions!$B$88,Assumptions!$B$59,Acquisition!$B$10))-CM7),0)</f>
        <v>0</v>
      </c>
      <c r="CN8" s="64">
        <f>IF(CN4&lt;IF(Assumptions!$B$67=1,Assumptions!$B$68,Assumptions!$B$60+1),IF(CN4&lt;=Assumptions!$B$61,0,(-PMT(Assumptions!$B$88,Assumptions!$B$59,Acquisition!$B$10))-CN7),0)</f>
        <v>0</v>
      </c>
      <c r="CO8" s="64">
        <f>IF(CO4&lt;IF(Assumptions!$B$67=1,Assumptions!$B$68,Assumptions!$B$60+1),IF(CO4&lt;=Assumptions!$B$61,0,(-PMT(Assumptions!$B$88,Assumptions!$B$59,Acquisition!$B$10))-CO7),0)</f>
        <v>0</v>
      </c>
      <c r="CP8" s="64">
        <f>IF(CP4&lt;IF(Assumptions!$B$67=1,Assumptions!$B$68,Assumptions!$B$60+1),IF(CP4&lt;=Assumptions!$B$61,0,(-PMT(Assumptions!$B$88,Assumptions!$B$59,Acquisition!$B$10))-CP7),0)</f>
        <v>0</v>
      </c>
      <c r="CQ8" s="64">
        <f>IF(CQ4&lt;IF(Assumptions!$B$67=1,Assumptions!$B$68,Assumptions!$B$60+1),IF(CQ4&lt;=Assumptions!$B$61,0,(-PMT(Assumptions!$B$88,Assumptions!$B$59,Acquisition!$B$10))-CQ7),0)</f>
        <v>0</v>
      </c>
      <c r="CR8" s="64">
        <f>IF(CR4&lt;IF(Assumptions!$B$67=1,Assumptions!$B$68,Assumptions!$B$60+1),IF(CR4&lt;=Assumptions!$B$61,0,(-PMT(Assumptions!$B$88,Assumptions!$B$59,Acquisition!$B$10))-CR7),0)</f>
        <v>0</v>
      </c>
      <c r="CS8" s="64">
        <f>IF(CS4&lt;IF(Assumptions!$B$67=1,Assumptions!$B$68,Assumptions!$B$60+1),IF(CS4&lt;=Assumptions!$B$61,0,(-PMT(Assumptions!$B$88,Assumptions!$B$59,Acquisition!$B$10))-CS7),0)</f>
        <v>0</v>
      </c>
      <c r="CT8" s="64">
        <f>IF(CT4&lt;IF(Assumptions!$B$67=1,Assumptions!$B$68,Assumptions!$B$60+1),IF(CT4&lt;=Assumptions!$B$61,0,(-PMT(Assumptions!$B$88,Assumptions!$B$59,Acquisition!$B$10))-CT7),0)</f>
        <v>0</v>
      </c>
      <c r="CU8" s="64">
        <f>IF(CU4&lt;IF(Assumptions!$B$67=1,Assumptions!$B$68,Assumptions!$B$60+1),IF(CU4&lt;=Assumptions!$B$61,0,(-PMT(Assumptions!$B$88,Assumptions!$B$59,Acquisition!$B$10))-CU7),0)</f>
        <v>0</v>
      </c>
      <c r="CV8" s="64">
        <f>IF(CV4&lt;IF(Assumptions!$B$67=1,Assumptions!$B$68,Assumptions!$B$60+1),IF(CV4&lt;=Assumptions!$B$61,0,(-PMT(Assumptions!$B$88,Assumptions!$B$59,Acquisition!$B$10))-CV7),0)</f>
        <v>0</v>
      </c>
      <c r="CW8" s="64">
        <f>IF(CW4&lt;IF(Assumptions!$B$67=1,Assumptions!$B$68,Assumptions!$B$60+1),IF(CW4&lt;=Assumptions!$B$61,0,(-PMT(Assumptions!$B$88,Assumptions!$B$59,Acquisition!$B$10))-CW7),0)</f>
        <v>0</v>
      </c>
      <c r="CX8" s="64">
        <f>IF(CX4&lt;IF(Assumptions!$B$67=1,Assumptions!$B$68,Assumptions!$B$60+1),IF(CX4&lt;=Assumptions!$B$61,0,(-PMT(Assumptions!$B$88,Assumptions!$B$59,Acquisition!$B$10))-CX7),0)</f>
        <v>0</v>
      </c>
      <c r="CY8" s="64">
        <f>IF(CY4&lt;IF(Assumptions!$B$67=1,Assumptions!$B$68,Assumptions!$B$60+1),IF(CY4&lt;=Assumptions!$B$61,0,(-PMT(Assumptions!$B$88,Assumptions!$B$59,Acquisition!$B$10))-CY7),0)</f>
        <v>0</v>
      </c>
      <c r="CZ8" s="64">
        <f>IF(CZ4&lt;IF(Assumptions!$B$67=1,Assumptions!$B$68,Assumptions!$B$60+1),IF(CZ4&lt;=Assumptions!$B$61,0,(-PMT(Assumptions!$B$88,Assumptions!$B$59,Acquisition!$B$10))-CZ7),0)</f>
        <v>0</v>
      </c>
      <c r="DA8" s="64">
        <f>IF(DA4&lt;IF(Assumptions!$B$67=1,Assumptions!$B$68,Assumptions!$B$60+1),IF(DA4&lt;=Assumptions!$B$61,0,(-PMT(Assumptions!$B$88,Assumptions!$B$59,Acquisition!$B$10))-DA7),0)</f>
        <v>0</v>
      </c>
      <c r="DB8" s="64">
        <f>IF(DB4&lt;IF(Assumptions!$B$67=1,Assumptions!$B$68,Assumptions!$B$60+1),IF(DB4&lt;=Assumptions!$B$61,0,(-PMT(Assumptions!$B$88,Assumptions!$B$59,Acquisition!$B$10))-DB7),0)</f>
        <v>0</v>
      </c>
      <c r="DC8" s="64">
        <f>IF(DC4&lt;IF(Assumptions!$B$67=1,Assumptions!$B$68,Assumptions!$B$60+1),IF(DC4&lt;=Assumptions!$B$61,0,(-PMT(Assumptions!$B$88,Assumptions!$B$59,Acquisition!$B$10))-DC7),0)</f>
        <v>0</v>
      </c>
      <c r="DD8" s="64">
        <f>IF(DD4&lt;IF(Assumptions!$B$67=1,Assumptions!$B$68,Assumptions!$B$60+1),IF(DD4&lt;=Assumptions!$B$61,0,(-PMT(Assumptions!$B$88,Assumptions!$B$59,Acquisition!$B$10))-DD7),0)</f>
        <v>0</v>
      </c>
      <c r="DE8" s="64">
        <f>IF(DE4&lt;IF(Assumptions!$B$67=1,Assumptions!$B$68,Assumptions!$B$60+1),IF(DE4&lt;=Assumptions!$B$61,0,(-PMT(Assumptions!$B$88,Assumptions!$B$59,Acquisition!$B$10))-DE7),0)</f>
        <v>0</v>
      </c>
      <c r="DF8" s="64">
        <f>IF(DF4&lt;IF(Assumptions!$B$67=1,Assumptions!$B$68,Assumptions!$B$60+1),IF(DF4&lt;=Assumptions!$B$61,0,(-PMT(Assumptions!$B$88,Assumptions!$B$59,Acquisition!$B$10))-DF7),0)</f>
        <v>0</v>
      </c>
      <c r="DG8" s="64">
        <f>IF(DG4&lt;IF(Assumptions!$B$67=1,Assumptions!$B$68,Assumptions!$B$60+1),IF(DG4&lt;=Assumptions!$B$61,0,(-PMT(Assumptions!$B$88,Assumptions!$B$59,Acquisition!$B$10))-DG7),0)</f>
        <v>0</v>
      </c>
      <c r="DH8" s="64">
        <f>IF(DH4&lt;IF(Assumptions!$B$67=1,Assumptions!$B$68,Assumptions!$B$60+1),IF(DH4&lt;=Assumptions!$B$61,0,(-PMT(Assumptions!$B$88,Assumptions!$B$59,Acquisition!$B$10))-DH7),0)</f>
        <v>0</v>
      </c>
      <c r="DI8" s="64">
        <f>IF(DI4&lt;IF(Assumptions!$B$67=1,Assumptions!$B$68,Assumptions!$B$60+1),IF(DI4&lt;=Assumptions!$B$61,0,(-PMT(Assumptions!$B$88,Assumptions!$B$59,Acquisition!$B$10))-DI7),0)</f>
        <v>0</v>
      </c>
      <c r="DJ8" s="64">
        <f>IF(DJ4&lt;IF(Assumptions!$B$67=1,Assumptions!$B$68,Assumptions!$B$60+1),IF(DJ4&lt;=Assumptions!$B$61,0,(-PMT(Assumptions!$B$88,Assumptions!$B$59,Acquisition!$B$10))-DJ7),0)</f>
        <v>0</v>
      </c>
      <c r="DK8" s="64">
        <f>IF(DK4&lt;IF(Assumptions!$B$67=1,Assumptions!$B$68,Assumptions!$B$60+1),IF(DK4&lt;=Assumptions!$B$61,0,(-PMT(Assumptions!$B$88,Assumptions!$B$59,Acquisition!$B$10))-DK7),0)</f>
        <v>0</v>
      </c>
      <c r="DL8" s="64">
        <f>IF(DL4&lt;IF(Assumptions!$B$67=1,Assumptions!$B$68,Assumptions!$B$60+1),IF(DL4&lt;=Assumptions!$B$61,0,(-PMT(Assumptions!$B$88,Assumptions!$B$59,Acquisition!$B$10))-DL7),0)</f>
        <v>0</v>
      </c>
      <c r="DM8" s="64">
        <f>IF(DM4&lt;IF(Assumptions!$B$67=1,Assumptions!$B$68,Assumptions!$B$60+1),IF(DM4&lt;=Assumptions!$B$61,0,(-PMT(Assumptions!$B$88,Assumptions!$B$59,Acquisition!$B$10))-DM7),0)</f>
        <v>0</v>
      </c>
      <c r="DN8" s="64">
        <f>IF(DN4&lt;IF(Assumptions!$B$67=1,Assumptions!$B$68,Assumptions!$B$60+1),IF(DN4&lt;=Assumptions!$B$61,0,(-PMT(Assumptions!$B$88,Assumptions!$B$59,Acquisition!$B$10))-DN7),0)</f>
        <v>0</v>
      </c>
      <c r="DO8" s="64">
        <f>IF(DO4&lt;IF(Assumptions!$B$67=1,Assumptions!$B$68,Assumptions!$B$60+1),IF(DO4&lt;=Assumptions!$B$61,0,(-PMT(Assumptions!$B$88,Assumptions!$B$59,Acquisition!$B$10))-DO7),0)</f>
        <v>0</v>
      </c>
      <c r="DP8" s="64">
        <f>IF(DP4&lt;IF(Assumptions!$B$67=1,Assumptions!$B$68,Assumptions!$B$60+1),IF(DP4&lt;=Assumptions!$B$61,0,(-PMT(Assumptions!$B$88,Assumptions!$B$59,Acquisition!$B$10))-DP7),0)</f>
        <v>0</v>
      </c>
      <c r="DQ8" s="64">
        <f>IF(DQ4&lt;IF(Assumptions!$B$67=1,Assumptions!$B$68,Assumptions!$B$60+1),IF(DQ4&lt;=Assumptions!$B$61,0,(-PMT(Assumptions!$B$88,Assumptions!$B$59,Acquisition!$B$10))-DQ7),0)</f>
        <v>0</v>
      </c>
      <c r="DR8" s="64">
        <f>IF(DR4&lt;IF(Assumptions!$B$67=1,Assumptions!$B$68,Assumptions!$B$60+1),IF(DR4&lt;=Assumptions!$B$61,0,(-PMT(Assumptions!$B$88,Assumptions!$B$59,Acquisition!$B$10))-DR7),0)</f>
        <v>0</v>
      </c>
      <c r="DS8" s="64">
        <f>IF(DS4&lt;IF(Assumptions!$B$67=1,Assumptions!$B$68,Assumptions!$B$60+1),IF(DS4&lt;=Assumptions!$B$61,0,(-PMT(Assumptions!$B$88,Assumptions!$B$59,Acquisition!$B$10))-DS7),0)</f>
        <v>0</v>
      </c>
    </row>
    <row r="9" spans="1:123" x14ac:dyDescent="0.25">
      <c r="A9" s="51" t="s">
        <v>334</v>
      </c>
      <c r="D9" s="64">
        <f t="shared" ref="D9:AI9" si="0">D7+D8</f>
        <v>4929.166666666667</v>
      </c>
      <c r="E9" s="64">
        <f t="shared" si="0"/>
        <v>4929.166666666667</v>
      </c>
      <c r="F9" s="64">
        <f t="shared" si="0"/>
        <v>4929.166666666667</v>
      </c>
      <c r="G9" s="64">
        <f t="shared" si="0"/>
        <v>4929.166666666667</v>
      </c>
      <c r="H9" s="64">
        <f t="shared" si="0"/>
        <v>4929.166666666667</v>
      </c>
      <c r="I9" s="64">
        <f t="shared" si="0"/>
        <v>4929.166666666667</v>
      </c>
      <c r="J9" s="64">
        <f t="shared" si="0"/>
        <v>4929.166666666667</v>
      </c>
      <c r="K9" s="64">
        <f t="shared" si="0"/>
        <v>4929.166666666667</v>
      </c>
      <c r="L9" s="64">
        <f t="shared" si="0"/>
        <v>4929.166666666667</v>
      </c>
      <c r="M9" s="64">
        <f t="shared" si="0"/>
        <v>4929.166666666667</v>
      </c>
      <c r="N9" s="64">
        <f t="shared" si="0"/>
        <v>4929.166666666667</v>
      </c>
      <c r="O9" s="64">
        <f t="shared" si="0"/>
        <v>4929.166666666667</v>
      </c>
      <c r="P9" s="64">
        <f t="shared" si="0"/>
        <v>4929.166666666667</v>
      </c>
      <c r="Q9" s="64">
        <f t="shared" si="0"/>
        <v>4929.166666666667</v>
      </c>
      <c r="R9" s="64">
        <f t="shared" si="0"/>
        <v>4929.166666666667</v>
      </c>
      <c r="S9" s="64">
        <f t="shared" si="0"/>
        <v>4929.166666666667</v>
      </c>
      <c r="T9" s="64">
        <f t="shared" si="0"/>
        <v>4929.166666666667</v>
      </c>
      <c r="U9" s="64">
        <f t="shared" si="0"/>
        <v>4929.166666666667</v>
      </c>
      <c r="V9" s="64">
        <f t="shared" si="0"/>
        <v>4929.166666666667</v>
      </c>
      <c r="W9" s="64">
        <f t="shared" si="0"/>
        <v>4929.166666666667</v>
      </c>
      <c r="X9" s="64">
        <f t="shared" si="0"/>
        <v>4929.166666666667</v>
      </c>
      <c r="Y9" s="64">
        <f t="shared" si="0"/>
        <v>4929.166666666667</v>
      </c>
      <c r="Z9" s="64">
        <f t="shared" si="0"/>
        <v>4929.166666666667</v>
      </c>
      <c r="AA9" s="64">
        <f t="shared" si="0"/>
        <v>4929.166666666667</v>
      </c>
      <c r="AB9" s="64">
        <f t="shared" si="0"/>
        <v>5751.8190137859701</v>
      </c>
      <c r="AC9" s="64">
        <f t="shared" si="0"/>
        <v>5751.8190137859701</v>
      </c>
      <c r="AD9" s="64">
        <f t="shared" si="0"/>
        <v>5751.8190137859701</v>
      </c>
      <c r="AE9" s="64">
        <f t="shared" si="0"/>
        <v>5751.8190137859701</v>
      </c>
      <c r="AF9" s="64">
        <f t="shared" si="0"/>
        <v>5751.8190137859701</v>
      </c>
      <c r="AG9" s="64">
        <f t="shared" si="0"/>
        <v>5751.8190137859701</v>
      </c>
      <c r="AH9" s="64">
        <f t="shared" si="0"/>
        <v>5751.8190137859701</v>
      </c>
      <c r="AI9" s="64">
        <f t="shared" si="0"/>
        <v>5751.8190137859701</v>
      </c>
      <c r="AJ9" s="64">
        <f t="shared" ref="AJ9:BO9" si="1">AJ7+AJ8</f>
        <v>5751.8190137859701</v>
      </c>
      <c r="AK9" s="64">
        <f t="shared" si="1"/>
        <v>5751.8190137859701</v>
      </c>
      <c r="AL9" s="64">
        <f t="shared" si="1"/>
        <v>5751.8190137859701</v>
      </c>
      <c r="AM9" s="64">
        <f t="shared" si="1"/>
        <v>0</v>
      </c>
      <c r="AN9" s="64">
        <f t="shared" si="1"/>
        <v>0</v>
      </c>
      <c r="AO9" s="64">
        <f t="shared" si="1"/>
        <v>0</v>
      </c>
      <c r="AP9" s="64">
        <f t="shared" si="1"/>
        <v>0</v>
      </c>
      <c r="AQ9" s="64">
        <f t="shared" si="1"/>
        <v>0</v>
      </c>
      <c r="AR9" s="64">
        <f t="shared" si="1"/>
        <v>0</v>
      </c>
      <c r="AS9" s="64">
        <f t="shared" si="1"/>
        <v>0</v>
      </c>
      <c r="AT9" s="64">
        <f t="shared" si="1"/>
        <v>0</v>
      </c>
      <c r="AU9" s="64">
        <f t="shared" si="1"/>
        <v>0</v>
      </c>
      <c r="AV9" s="64">
        <f t="shared" si="1"/>
        <v>0</v>
      </c>
      <c r="AW9" s="64">
        <f t="shared" si="1"/>
        <v>0</v>
      </c>
      <c r="AX9" s="64">
        <f t="shared" si="1"/>
        <v>0</v>
      </c>
      <c r="AY9" s="64">
        <f t="shared" si="1"/>
        <v>0</v>
      </c>
      <c r="AZ9" s="64">
        <f t="shared" si="1"/>
        <v>0</v>
      </c>
      <c r="BA9" s="64">
        <f t="shared" si="1"/>
        <v>0</v>
      </c>
      <c r="BB9" s="64">
        <f t="shared" si="1"/>
        <v>0</v>
      </c>
      <c r="BC9" s="64">
        <f t="shared" si="1"/>
        <v>0</v>
      </c>
      <c r="BD9" s="64">
        <f t="shared" si="1"/>
        <v>0</v>
      </c>
      <c r="BE9" s="64">
        <f t="shared" si="1"/>
        <v>0</v>
      </c>
      <c r="BF9" s="64">
        <f t="shared" si="1"/>
        <v>0</v>
      </c>
      <c r="BG9" s="64">
        <f t="shared" si="1"/>
        <v>0</v>
      </c>
      <c r="BH9" s="64">
        <f t="shared" si="1"/>
        <v>0</v>
      </c>
      <c r="BI9" s="64">
        <f t="shared" si="1"/>
        <v>0</v>
      </c>
      <c r="BJ9" s="64">
        <f t="shared" si="1"/>
        <v>0</v>
      </c>
      <c r="BK9" s="64">
        <f t="shared" si="1"/>
        <v>0</v>
      </c>
      <c r="BL9" s="64">
        <f t="shared" si="1"/>
        <v>0</v>
      </c>
      <c r="BM9" s="64">
        <f t="shared" si="1"/>
        <v>0</v>
      </c>
      <c r="BN9" s="64">
        <f t="shared" si="1"/>
        <v>0</v>
      </c>
      <c r="BO9" s="64">
        <f t="shared" si="1"/>
        <v>0</v>
      </c>
      <c r="BP9" s="64">
        <f t="shared" ref="BP9:CU9" si="2">BP7+BP8</f>
        <v>0</v>
      </c>
      <c r="BQ9" s="64">
        <f t="shared" si="2"/>
        <v>0</v>
      </c>
      <c r="BR9" s="64">
        <f t="shared" si="2"/>
        <v>0</v>
      </c>
      <c r="BS9" s="64">
        <f t="shared" si="2"/>
        <v>0</v>
      </c>
      <c r="BT9" s="64">
        <f t="shared" si="2"/>
        <v>0</v>
      </c>
      <c r="BU9" s="64">
        <f t="shared" si="2"/>
        <v>0</v>
      </c>
      <c r="BV9" s="64">
        <f t="shared" si="2"/>
        <v>0</v>
      </c>
      <c r="BW9" s="64">
        <f t="shared" si="2"/>
        <v>0</v>
      </c>
      <c r="BX9" s="64">
        <f t="shared" si="2"/>
        <v>0</v>
      </c>
      <c r="BY9" s="64">
        <f t="shared" si="2"/>
        <v>0</v>
      </c>
      <c r="BZ9" s="64">
        <f t="shared" si="2"/>
        <v>0</v>
      </c>
      <c r="CA9" s="64">
        <f t="shared" si="2"/>
        <v>0</v>
      </c>
      <c r="CB9" s="64">
        <f t="shared" si="2"/>
        <v>0</v>
      </c>
      <c r="CC9" s="64">
        <f t="shared" si="2"/>
        <v>0</v>
      </c>
      <c r="CD9" s="64">
        <f t="shared" si="2"/>
        <v>0</v>
      </c>
      <c r="CE9" s="64">
        <f t="shared" si="2"/>
        <v>0</v>
      </c>
      <c r="CF9" s="64">
        <f t="shared" si="2"/>
        <v>0</v>
      </c>
      <c r="CG9" s="64">
        <f t="shared" si="2"/>
        <v>0</v>
      </c>
      <c r="CH9" s="64">
        <f t="shared" si="2"/>
        <v>0</v>
      </c>
      <c r="CI9" s="64">
        <f t="shared" si="2"/>
        <v>0</v>
      </c>
      <c r="CJ9" s="64">
        <f t="shared" si="2"/>
        <v>0</v>
      </c>
      <c r="CK9" s="64">
        <f t="shared" si="2"/>
        <v>0</v>
      </c>
      <c r="CL9" s="64">
        <f t="shared" si="2"/>
        <v>0</v>
      </c>
      <c r="CM9" s="64">
        <f t="shared" si="2"/>
        <v>0</v>
      </c>
      <c r="CN9" s="64">
        <f t="shared" si="2"/>
        <v>0</v>
      </c>
      <c r="CO9" s="64">
        <f t="shared" si="2"/>
        <v>0</v>
      </c>
      <c r="CP9" s="64">
        <f t="shared" si="2"/>
        <v>0</v>
      </c>
      <c r="CQ9" s="64">
        <f t="shared" si="2"/>
        <v>0</v>
      </c>
      <c r="CR9" s="64">
        <f t="shared" si="2"/>
        <v>0</v>
      </c>
      <c r="CS9" s="64">
        <f t="shared" si="2"/>
        <v>0</v>
      </c>
      <c r="CT9" s="64">
        <f t="shared" si="2"/>
        <v>0</v>
      </c>
      <c r="CU9" s="64">
        <f t="shared" si="2"/>
        <v>0</v>
      </c>
      <c r="CV9" s="64">
        <f t="shared" ref="CV9:DS9" si="3">CV7+CV8</f>
        <v>0</v>
      </c>
      <c r="CW9" s="64">
        <f t="shared" si="3"/>
        <v>0</v>
      </c>
      <c r="CX9" s="64">
        <f t="shared" si="3"/>
        <v>0</v>
      </c>
      <c r="CY9" s="64">
        <f t="shared" si="3"/>
        <v>0</v>
      </c>
      <c r="CZ9" s="64">
        <f t="shared" si="3"/>
        <v>0</v>
      </c>
      <c r="DA9" s="64">
        <f t="shared" si="3"/>
        <v>0</v>
      </c>
      <c r="DB9" s="64">
        <f t="shared" si="3"/>
        <v>0</v>
      </c>
      <c r="DC9" s="64">
        <f t="shared" si="3"/>
        <v>0</v>
      </c>
      <c r="DD9" s="64">
        <f t="shared" si="3"/>
        <v>0</v>
      </c>
      <c r="DE9" s="64">
        <f t="shared" si="3"/>
        <v>0</v>
      </c>
      <c r="DF9" s="64">
        <f t="shared" si="3"/>
        <v>0</v>
      </c>
      <c r="DG9" s="64">
        <f t="shared" si="3"/>
        <v>0</v>
      </c>
      <c r="DH9" s="64">
        <f t="shared" si="3"/>
        <v>0</v>
      </c>
      <c r="DI9" s="64">
        <f t="shared" si="3"/>
        <v>0</v>
      </c>
      <c r="DJ9" s="64">
        <f t="shared" si="3"/>
        <v>0</v>
      </c>
      <c r="DK9" s="64">
        <f t="shared" si="3"/>
        <v>0</v>
      </c>
      <c r="DL9" s="64">
        <f t="shared" si="3"/>
        <v>0</v>
      </c>
      <c r="DM9" s="64">
        <f t="shared" si="3"/>
        <v>0</v>
      </c>
      <c r="DN9" s="64">
        <f t="shared" si="3"/>
        <v>0</v>
      </c>
      <c r="DO9" s="64">
        <f t="shared" si="3"/>
        <v>0</v>
      </c>
      <c r="DP9" s="64">
        <f t="shared" si="3"/>
        <v>0</v>
      </c>
      <c r="DQ9" s="64">
        <f t="shared" si="3"/>
        <v>0</v>
      </c>
      <c r="DR9" s="64">
        <f t="shared" si="3"/>
        <v>0</v>
      </c>
      <c r="DS9" s="64">
        <f t="shared" si="3"/>
        <v>0</v>
      </c>
    </row>
    <row r="10" spans="1:123" x14ac:dyDescent="0.25">
      <c r="A10" s="1" t="s">
        <v>335</v>
      </c>
      <c r="D10" s="64">
        <f t="shared" ref="D10:AI10" si="4">D6-D8</f>
        <v>910000</v>
      </c>
      <c r="E10" s="64">
        <f t="shared" si="4"/>
        <v>910000</v>
      </c>
      <c r="F10" s="64">
        <f t="shared" si="4"/>
        <v>910000</v>
      </c>
      <c r="G10" s="64">
        <f t="shared" si="4"/>
        <v>910000</v>
      </c>
      <c r="H10" s="64">
        <f t="shared" si="4"/>
        <v>910000</v>
      </c>
      <c r="I10" s="64">
        <f t="shared" si="4"/>
        <v>910000</v>
      </c>
      <c r="J10" s="64">
        <f t="shared" si="4"/>
        <v>910000</v>
      </c>
      <c r="K10" s="64">
        <f t="shared" si="4"/>
        <v>910000</v>
      </c>
      <c r="L10" s="64">
        <f t="shared" si="4"/>
        <v>910000</v>
      </c>
      <c r="M10" s="64">
        <f t="shared" si="4"/>
        <v>910000</v>
      </c>
      <c r="N10" s="64">
        <f t="shared" si="4"/>
        <v>910000</v>
      </c>
      <c r="O10" s="64">
        <f t="shared" si="4"/>
        <v>910000</v>
      </c>
      <c r="P10" s="64">
        <f t="shared" si="4"/>
        <v>910000</v>
      </c>
      <c r="Q10" s="64">
        <f t="shared" si="4"/>
        <v>910000</v>
      </c>
      <c r="R10" s="64">
        <f t="shared" si="4"/>
        <v>910000</v>
      </c>
      <c r="S10" s="64">
        <f t="shared" si="4"/>
        <v>910000</v>
      </c>
      <c r="T10" s="64">
        <f t="shared" si="4"/>
        <v>910000</v>
      </c>
      <c r="U10" s="64">
        <f t="shared" si="4"/>
        <v>910000</v>
      </c>
      <c r="V10" s="64">
        <f t="shared" si="4"/>
        <v>910000</v>
      </c>
      <c r="W10" s="64">
        <f t="shared" si="4"/>
        <v>910000</v>
      </c>
      <c r="X10" s="64">
        <f t="shared" si="4"/>
        <v>910000</v>
      </c>
      <c r="Y10" s="64">
        <f t="shared" si="4"/>
        <v>910000</v>
      </c>
      <c r="Z10" s="64">
        <f t="shared" si="4"/>
        <v>910000</v>
      </c>
      <c r="AA10" s="64">
        <f t="shared" si="4"/>
        <v>910000</v>
      </c>
      <c r="AB10" s="64">
        <f t="shared" si="4"/>
        <v>909177.34765288071</v>
      </c>
      <c r="AC10" s="64">
        <f t="shared" si="4"/>
        <v>908350.23927221447</v>
      </c>
      <c r="AD10" s="64">
        <f t="shared" si="4"/>
        <v>907518.65072115301</v>
      </c>
      <c r="AE10" s="64">
        <f t="shared" si="4"/>
        <v>906682.55773210665</v>
      </c>
      <c r="AF10" s="64">
        <f t="shared" si="4"/>
        <v>905841.93590603629</v>
      </c>
      <c r="AG10" s="64">
        <f t="shared" si="4"/>
        <v>904996.7607117414</v>
      </c>
      <c r="AH10" s="64">
        <f t="shared" si="4"/>
        <v>904147.00748514407</v>
      </c>
      <c r="AI10" s="64">
        <f t="shared" si="4"/>
        <v>903292.65142856934</v>
      </c>
      <c r="AJ10" s="64">
        <f t="shared" ref="AJ10:BO10" si="5">AJ6-AJ8</f>
        <v>902433.66761002142</v>
      </c>
      <c r="AK10" s="64">
        <f t="shared" si="5"/>
        <v>901570.03096245637</v>
      </c>
      <c r="AL10" s="64">
        <f t="shared" si="5"/>
        <v>900701.71628305037</v>
      </c>
      <c r="AM10" s="64">
        <f t="shared" si="5"/>
        <v>0</v>
      </c>
      <c r="AN10" s="64">
        <f t="shared" si="5"/>
        <v>0</v>
      </c>
      <c r="AO10" s="64">
        <f t="shared" si="5"/>
        <v>0</v>
      </c>
      <c r="AP10" s="64">
        <f t="shared" si="5"/>
        <v>0</v>
      </c>
      <c r="AQ10" s="64">
        <f t="shared" si="5"/>
        <v>0</v>
      </c>
      <c r="AR10" s="64">
        <f t="shared" si="5"/>
        <v>0</v>
      </c>
      <c r="AS10" s="64">
        <f t="shared" si="5"/>
        <v>0</v>
      </c>
      <c r="AT10" s="64">
        <f t="shared" si="5"/>
        <v>0</v>
      </c>
      <c r="AU10" s="64">
        <f t="shared" si="5"/>
        <v>0</v>
      </c>
      <c r="AV10" s="64">
        <f t="shared" si="5"/>
        <v>0</v>
      </c>
      <c r="AW10" s="64">
        <f t="shared" si="5"/>
        <v>0</v>
      </c>
      <c r="AX10" s="64">
        <f t="shared" si="5"/>
        <v>0</v>
      </c>
      <c r="AY10" s="64">
        <f t="shared" si="5"/>
        <v>0</v>
      </c>
      <c r="AZ10" s="64">
        <f t="shared" si="5"/>
        <v>0</v>
      </c>
      <c r="BA10" s="64">
        <f t="shared" si="5"/>
        <v>0</v>
      </c>
      <c r="BB10" s="64">
        <f t="shared" si="5"/>
        <v>0</v>
      </c>
      <c r="BC10" s="64">
        <f t="shared" si="5"/>
        <v>0</v>
      </c>
      <c r="BD10" s="64">
        <f t="shared" si="5"/>
        <v>0</v>
      </c>
      <c r="BE10" s="64">
        <f t="shared" si="5"/>
        <v>0</v>
      </c>
      <c r="BF10" s="64">
        <f t="shared" si="5"/>
        <v>0</v>
      </c>
      <c r="BG10" s="64">
        <f t="shared" si="5"/>
        <v>0</v>
      </c>
      <c r="BH10" s="64">
        <f t="shared" si="5"/>
        <v>0</v>
      </c>
      <c r="BI10" s="64">
        <f t="shared" si="5"/>
        <v>0</v>
      </c>
      <c r="BJ10" s="64">
        <f t="shared" si="5"/>
        <v>0</v>
      </c>
      <c r="BK10" s="64">
        <f t="shared" si="5"/>
        <v>0</v>
      </c>
      <c r="BL10" s="64">
        <f t="shared" si="5"/>
        <v>0</v>
      </c>
      <c r="BM10" s="64">
        <f t="shared" si="5"/>
        <v>0</v>
      </c>
      <c r="BN10" s="64">
        <f t="shared" si="5"/>
        <v>0</v>
      </c>
      <c r="BO10" s="64">
        <f t="shared" si="5"/>
        <v>0</v>
      </c>
      <c r="BP10" s="64">
        <f t="shared" ref="BP10:CU10" si="6">BP6-BP8</f>
        <v>0</v>
      </c>
      <c r="BQ10" s="64">
        <f t="shared" si="6"/>
        <v>0</v>
      </c>
      <c r="BR10" s="64">
        <f t="shared" si="6"/>
        <v>0</v>
      </c>
      <c r="BS10" s="64">
        <f t="shared" si="6"/>
        <v>0</v>
      </c>
      <c r="BT10" s="64">
        <f t="shared" si="6"/>
        <v>0</v>
      </c>
      <c r="BU10" s="64">
        <f t="shared" si="6"/>
        <v>0</v>
      </c>
      <c r="BV10" s="64">
        <f t="shared" si="6"/>
        <v>0</v>
      </c>
      <c r="BW10" s="64">
        <f t="shared" si="6"/>
        <v>0</v>
      </c>
      <c r="BX10" s="64">
        <f t="shared" si="6"/>
        <v>0</v>
      </c>
      <c r="BY10" s="64">
        <f t="shared" si="6"/>
        <v>0</v>
      </c>
      <c r="BZ10" s="64">
        <f t="shared" si="6"/>
        <v>0</v>
      </c>
      <c r="CA10" s="64">
        <f t="shared" si="6"/>
        <v>0</v>
      </c>
      <c r="CB10" s="64">
        <f t="shared" si="6"/>
        <v>0</v>
      </c>
      <c r="CC10" s="64">
        <f t="shared" si="6"/>
        <v>0</v>
      </c>
      <c r="CD10" s="64">
        <f t="shared" si="6"/>
        <v>0</v>
      </c>
      <c r="CE10" s="64">
        <f t="shared" si="6"/>
        <v>0</v>
      </c>
      <c r="CF10" s="64">
        <f t="shared" si="6"/>
        <v>0</v>
      </c>
      <c r="CG10" s="64">
        <f t="shared" si="6"/>
        <v>0</v>
      </c>
      <c r="CH10" s="64">
        <f t="shared" si="6"/>
        <v>0</v>
      </c>
      <c r="CI10" s="64">
        <f t="shared" si="6"/>
        <v>0</v>
      </c>
      <c r="CJ10" s="64">
        <f t="shared" si="6"/>
        <v>0</v>
      </c>
      <c r="CK10" s="64">
        <f t="shared" si="6"/>
        <v>0</v>
      </c>
      <c r="CL10" s="64">
        <f t="shared" si="6"/>
        <v>0</v>
      </c>
      <c r="CM10" s="64">
        <f t="shared" si="6"/>
        <v>0</v>
      </c>
      <c r="CN10" s="64">
        <f t="shared" si="6"/>
        <v>0</v>
      </c>
      <c r="CO10" s="64">
        <f t="shared" si="6"/>
        <v>0</v>
      </c>
      <c r="CP10" s="64">
        <f t="shared" si="6"/>
        <v>0</v>
      </c>
      <c r="CQ10" s="64">
        <f t="shared" si="6"/>
        <v>0</v>
      </c>
      <c r="CR10" s="64">
        <f t="shared" si="6"/>
        <v>0</v>
      </c>
      <c r="CS10" s="64">
        <f t="shared" si="6"/>
        <v>0</v>
      </c>
      <c r="CT10" s="64">
        <f t="shared" si="6"/>
        <v>0</v>
      </c>
      <c r="CU10" s="64">
        <f t="shared" si="6"/>
        <v>0</v>
      </c>
      <c r="CV10" s="64">
        <f t="shared" ref="CV10:DS10" si="7">CV6-CV8</f>
        <v>0</v>
      </c>
      <c r="CW10" s="64">
        <f t="shared" si="7"/>
        <v>0</v>
      </c>
      <c r="CX10" s="64">
        <f t="shared" si="7"/>
        <v>0</v>
      </c>
      <c r="CY10" s="64">
        <f t="shared" si="7"/>
        <v>0</v>
      </c>
      <c r="CZ10" s="64">
        <f t="shared" si="7"/>
        <v>0</v>
      </c>
      <c r="DA10" s="64">
        <f t="shared" si="7"/>
        <v>0</v>
      </c>
      <c r="DB10" s="64">
        <f t="shared" si="7"/>
        <v>0</v>
      </c>
      <c r="DC10" s="64">
        <f t="shared" si="7"/>
        <v>0</v>
      </c>
      <c r="DD10" s="64">
        <f t="shared" si="7"/>
        <v>0</v>
      </c>
      <c r="DE10" s="64">
        <f t="shared" si="7"/>
        <v>0</v>
      </c>
      <c r="DF10" s="64">
        <f t="shared" si="7"/>
        <v>0</v>
      </c>
      <c r="DG10" s="64">
        <f t="shared" si="7"/>
        <v>0</v>
      </c>
      <c r="DH10" s="64">
        <f t="shared" si="7"/>
        <v>0</v>
      </c>
      <c r="DI10" s="64">
        <f t="shared" si="7"/>
        <v>0</v>
      </c>
      <c r="DJ10" s="64">
        <f t="shared" si="7"/>
        <v>0</v>
      </c>
      <c r="DK10" s="64">
        <f t="shared" si="7"/>
        <v>0</v>
      </c>
      <c r="DL10" s="64">
        <f t="shared" si="7"/>
        <v>0</v>
      </c>
      <c r="DM10" s="64">
        <f t="shared" si="7"/>
        <v>0</v>
      </c>
      <c r="DN10" s="64">
        <f t="shared" si="7"/>
        <v>0</v>
      </c>
      <c r="DO10" s="64">
        <f t="shared" si="7"/>
        <v>0</v>
      </c>
      <c r="DP10" s="64">
        <f t="shared" si="7"/>
        <v>0</v>
      </c>
      <c r="DQ10" s="64">
        <f t="shared" si="7"/>
        <v>0</v>
      </c>
      <c r="DR10" s="64">
        <f t="shared" si="7"/>
        <v>0</v>
      </c>
      <c r="DS10" s="64">
        <f t="shared" si="7"/>
        <v>0</v>
      </c>
    </row>
    <row r="11" spans="1:123" x14ac:dyDescent="0.25">
      <c r="A11" s="74" t="s">
        <v>336</v>
      </c>
    </row>
    <row r="12" spans="1:123" x14ac:dyDescent="0.25">
      <c r="A12" s="1" t="s">
        <v>337</v>
      </c>
      <c r="D12" s="64">
        <f>IF(AND(Assumptions!$B$67=1,D4&gt;=Assumptions!$B$68,D4&lt;=Assumptions!$B$68+Assumptions!$B$60),Refinance!$B$11,0)</f>
        <v>0</v>
      </c>
      <c r="E12" s="64">
        <f>IF(AND(Assumptions!$B$67=1,E4&gt;=Assumptions!$B$68,E4&lt;=Assumptions!$B$68+Assumptions!$B$60),IF(E4=Assumptions!$B$68,Refinance!$B$11,D16),0)</f>
        <v>0</v>
      </c>
      <c r="F12" s="64">
        <f>IF(AND(Assumptions!$B$67=1,F4&gt;=Assumptions!$B$68,F4&lt;=Assumptions!$B$68+Assumptions!$B$60),IF(F4=Assumptions!$B$68,Refinance!$B$11,E16),0)</f>
        <v>0</v>
      </c>
      <c r="G12" s="64">
        <f>IF(AND(Assumptions!$B$67=1,G4&gt;=Assumptions!$B$68,G4&lt;=Assumptions!$B$68+Assumptions!$B$60),IF(G4=Assumptions!$B$68,Refinance!$B$11,F16),0)</f>
        <v>0</v>
      </c>
      <c r="H12" s="64">
        <f>IF(AND(Assumptions!$B$67=1,H4&gt;=Assumptions!$B$68,H4&lt;=Assumptions!$B$68+Assumptions!$B$60),IF(H4=Assumptions!$B$68,Refinance!$B$11,G16),0)</f>
        <v>0</v>
      </c>
      <c r="I12" s="64">
        <f>IF(AND(Assumptions!$B$67=1,I4&gt;=Assumptions!$B$68,I4&lt;=Assumptions!$B$68+Assumptions!$B$60),IF(I4=Assumptions!$B$68,Refinance!$B$11,H16),0)</f>
        <v>0</v>
      </c>
      <c r="J12" s="64">
        <f>IF(AND(Assumptions!$B$67=1,J4&gt;=Assumptions!$B$68,J4&lt;=Assumptions!$B$68+Assumptions!$B$60),IF(J4=Assumptions!$B$68,Refinance!$B$11,I16),0)</f>
        <v>0</v>
      </c>
      <c r="K12" s="64">
        <f>IF(AND(Assumptions!$B$67=1,K4&gt;=Assumptions!$B$68,K4&lt;=Assumptions!$B$68+Assumptions!$B$60),IF(K4=Assumptions!$B$68,Refinance!$B$11,J16),0)</f>
        <v>0</v>
      </c>
      <c r="L12" s="64">
        <f>IF(AND(Assumptions!$B$67=1,L4&gt;=Assumptions!$B$68,L4&lt;=Assumptions!$B$68+Assumptions!$B$60),IF(L4=Assumptions!$B$68,Refinance!$B$11,K16),0)</f>
        <v>0</v>
      </c>
      <c r="M12" s="64">
        <f>IF(AND(Assumptions!$B$67=1,M4&gt;=Assumptions!$B$68,M4&lt;=Assumptions!$B$68+Assumptions!$B$60),IF(M4=Assumptions!$B$68,Refinance!$B$11,L16),0)</f>
        <v>0</v>
      </c>
      <c r="N12" s="64">
        <f>IF(AND(Assumptions!$B$67=1,N4&gt;=Assumptions!$B$68,N4&lt;=Assumptions!$B$68+Assumptions!$B$60),IF(N4=Assumptions!$B$68,Refinance!$B$11,M16),0)</f>
        <v>0</v>
      </c>
      <c r="O12" s="64">
        <f>IF(AND(Assumptions!$B$67=1,O4&gt;=Assumptions!$B$68,O4&lt;=Assumptions!$B$68+Assumptions!$B$60),IF(O4=Assumptions!$B$68,Refinance!$B$11,N16),0)</f>
        <v>0</v>
      </c>
      <c r="P12" s="64">
        <f>IF(AND(Assumptions!$B$67=1,P4&gt;=Assumptions!$B$68,P4&lt;=Assumptions!$B$68+Assumptions!$B$60),IF(P4=Assumptions!$B$68,Refinance!$B$11,O16),0)</f>
        <v>0</v>
      </c>
      <c r="Q12" s="64">
        <f>IF(AND(Assumptions!$B$67=1,Q4&gt;=Assumptions!$B$68,Q4&lt;=Assumptions!$B$68+Assumptions!$B$60),IF(Q4=Assumptions!$B$68,Refinance!$B$11,P16),0)</f>
        <v>0</v>
      </c>
      <c r="R12" s="64">
        <f>IF(AND(Assumptions!$B$67=1,R4&gt;=Assumptions!$B$68,R4&lt;=Assumptions!$B$68+Assumptions!$B$60),IF(R4=Assumptions!$B$68,Refinance!$B$11,Q16),0)</f>
        <v>0</v>
      </c>
      <c r="S12" s="64">
        <f>IF(AND(Assumptions!$B$67=1,S4&gt;=Assumptions!$B$68,S4&lt;=Assumptions!$B$68+Assumptions!$B$60),IF(S4=Assumptions!$B$68,Refinance!$B$11,R16),0)</f>
        <v>0</v>
      </c>
      <c r="T12" s="64">
        <f>IF(AND(Assumptions!$B$67=1,T4&gt;=Assumptions!$B$68,T4&lt;=Assumptions!$B$68+Assumptions!$B$60),IF(T4=Assumptions!$B$68,Refinance!$B$11,S16),0)</f>
        <v>0</v>
      </c>
      <c r="U12" s="64">
        <f>IF(AND(Assumptions!$B$67=1,U4&gt;=Assumptions!$B$68,U4&lt;=Assumptions!$B$68+Assumptions!$B$60),IF(U4=Assumptions!$B$68,Refinance!$B$11,T16),0)</f>
        <v>0</v>
      </c>
      <c r="V12" s="64">
        <f>IF(AND(Assumptions!$B$67=1,V4&gt;=Assumptions!$B$68,V4&lt;=Assumptions!$B$68+Assumptions!$B$60),IF(V4=Assumptions!$B$68,Refinance!$B$11,U16),0)</f>
        <v>0</v>
      </c>
      <c r="W12" s="64">
        <f>IF(AND(Assumptions!$B$67=1,W4&gt;=Assumptions!$B$68,W4&lt;=Assumptions!$B$68+Assumptions!$B$60),IF(W4=Assumptions!$B$68,Refinance!$B$11,V16),0)</f>
        <v>0</v>
      </c>
      <c r="X12" s="64">
        <f>IF(AND(Assumptions!$B$67=1,X4&gt;=Assumptions!$B$68,X4&lt;=Assumptions!$B$68+Assumptions!$B$60),IF(X4=Assumptions!$B$68,Refinance!$B$11,W16),0)</f>
        <v>0</v>
      </c>
      <c r="Y12" s="64">
        <f>IF(AND(Assumptions!$B$67=1,Y4&gt;=Assumptions!$B$68,Y4&lt;=Assumptions!$B$68+Assumptions!$B$60),IF(Y4=Assumptions!$B$68,Refinance!$B$11,X16),0)</f>
        <v>0</v>
      </c>
      <c r="Z12" s="64">
        <f>IF(AND(Assumptions!$B$67=1,Z4&gt;=Assumptions!$B$68,Z4&lt;=Assumptions!$B$68+Assumptions!$B$60),IF(Z4=Assumptions!$B$68,Refinance!$B$11,Y16),0)</f>
        <v>0</v>
      </c>
      <c r="AA12" s="64">
        <f>IF(AND(Assumptions!$B$67=1,AA4&gt;=Assumptions!$B$68,AA4&lt;=Assumptions!$B$68+Assumptions!$B$60),IF(AA4=Assumptions!$B$68,Refinance!$B$11,Z16),0)</f>
        <v>0</v>
      </c>
      <c r="AB12" s="64">
        <f>IF(AND(Assumptions!$B$67=1,AB4&gt;=Assumptions!$B$68,AB4&lt;=Assumptions!$B$68+Assumptions!$B$60),IF(AB4=Assumptions!$B$68,Refinance!$B$11,AA16),0)</f>
        <v>0</v>
      </c>
      <c r="AC12" s="64">
        <f>IF(AND(Assumptions!$B$67=1,AC4&gt;=Assumptions!$B$68,AC4&lt;=Assumptions!$B$68+Assumptions!$B$60),IF(AC4=Assumptions!$B$68,Refinance!$B$11,AB16),0)</f>
        <v>0</v>
      </c>
      <c r="AD12" s="64">
        <f>IF(AND(Assumptions!$B$67=1,AD4&gt;=Assumptions!$B$68,AD4&lt;=Assumptions!$B$68+Assumptions!$B$60),IF(AD4=Assumptions!$B$68,Refinance!$B$11,AC16),0)</f>
        <v>0</v>
      </c>
      <c r="AE12" s="64">
        <f>IF(AND(Assumptions!$B$67=1,AE4&gt;=Assumptions!$B$68,AE4&lt;=Assumptions!$B$68+Assumptions!$B$60),IF(AE4=Assumptions!$B$68,Refinance!$B$11,AD16),0)</f>
        <v>0</v>
      </c>
      <c r="AF12" s="64">
        <f>IF(AND(Assumptions!$B$67=1,AF4&gt;=Assumptions!$B$68,AF4&lt;=Assumptions!$B$68+Assumptions!$B$60),IF(AF4=Assumptions!$B$68,Refinance!$B$11,AE16),0)</f>
        <v>0</v>
      </c>
      <c r="AG12" s="64">
        <f>IF(AND(Assumptions!$B$67=1,AG4&gt;=Assumptions!$B$68,AG4&lt;=Assumptions!$B$68+Assumptions!$B$60),IF(AG4=Assumptions!$B$68,Refinance!$B$11,AF16),0)</f>
        <v>0</v>
      </c>
      <c r="AH12" s="64">
        <f>IF(AND(Assumptions!$B$67=1,AH4&gt;=Assumptions!$B$68,AH4&lt;=Assumptions!$B$68+Assumptions!$B$60),IF(AH4=Assumptions!$B$68,Refinance!$B$11,AG16),0)</f>
        <v>0</v>
      </c>
      <c r="AI12" s="64">
        <f>IF(AND(Assumptions!$B$67=1,AI4&gt;=Assumptions!$B$68,AI4&lt;=Assumptions!$B$68+Assumptions!$B$60),IF(AI4=Assumptions!$B$68,Refinance!$B$11,AH16),0)</f>
        <v>0</v>
      </c>
      <c r="AJ12" s="64">
        <f>IF(AND(Assumptions!$B$67=1,AJ4&gt;=Assumptions!$B$68,AJ4&lt;=Assumptions!$B$68+Assumptions!$B$60),IF(AJ4=Assumptions!$B$68,Refinance!$B$11,AI16),0)</f>
        <v>0</v>
      </c>
      <c r="AK12" s="64">
        <f>IF(AND(Assumptions!$B$67=1,AK4&gt;=Assumptions!$B$68,AK4&lt;=Assumptions!$B$68+Assumptions!$B$60),IF(AK4=Assumptions!$B$68,Refinance!$B$11,AJ16),0)</f>
        <v>0</v>
      </c>
      <c r="AL12" s="64">
        <f>IF(AND(Assumptions!$B$67=1,AL4&gt;=Assumptions!$B$68,AL4&lt;=Assumptions!$B$68+Assumptions!$B$60),IF(AL4=Assumptions!$B$68,Refinance!$B$11,AK16),0)</f>
        <v>0</v>
      </c>
      <c r="AM12" s="64">
        <f>IF(AND(Assumptions!$B$67=1,AM4&gt;=Assumptions!$B$68,AM4&lt;=Assumptions!$B$68+Assumptions!$B$60),IF(AM4=Assumptions!$B$68,Refinance!$B$11,AL16),0)</f>
        <v>1532050.360802274</v>
      </c>
      <c r="AN12" s="64">
        <f>IF(AND(Assumptions!$B$67=1,AN4&gt;=Assumptions!$B$68,AN4&lt;=Assumptions!$B$68+Assumptions!$B$60),IF(AN4=Assumptions!$B$68,Refinance!$B$11,AM16),0)</f>
        <v>1530525.1966224907</v>
      </c>
      <c r="AO12" s="64">
        <f>IF(AND(Assumptions!$B$67=1,AO4&gt;=Assumptions!$B$68,AO4&lt;=Assumptions!$B$68+Assumptions!$B$60),IF(AO4=Assumptions!$B$68,Refinance!$B$11,AN16),0)</f>
        <v>1528992.4066218084</v>
      </c>
      <c r="AP12" s="64">
        <f>IF(AND(Assumptions!$B$67=1,AP4&gt;=Assumptions!$B$68,AP4&lt;=Assumptions!$B$68+Assumptions!$B$60),IF(AP4=Assumptions!$B$68,Refinance!$B$11,AO16),0)</f>
        <v>1527451.9526711227</v>
      </c>
      <c r="AQ12" s="64">
        <f>IF(AND(Assumptions!$B$67=1,AQ4&gt;=Assumptions!$B$68,AQ4&lt;=Assumptions!$B$68+Assumptions!$B$60),IF(AQ4=Assumptions!$B$68,Refinance!$B$11,AP16),0)</f>
        <v>1525903.7964506836</v>
      </c>
      <c r="AR12" s="64">
        <f>IF(AND(Assumptions!$B$67=1,AR4&gt;=Assumptions!$B$68,AR4&lt;=Assumptions!$B$68+Assumptions!$B$60),IF(AR4=Assumptions!$B$68,Refinance!$B$11,AQ16),0)</f>
        <v>1524347.8994491424</v>
      </c>
      <c r="AS12" s="64">
        <f>IF(AND(Assumptions!$B$67=1,AS4&gt;=Assumptions!$B$68,AS4&lt;=Assumptions!$B$68+Assumptions!$B$60),IF(AS4=Assumptions!$B$68,Refinance!$B$11,AR16),0)</f>
        <v>1522784.2229625934</v>
      </c>
      <c r="AT12" s="64">
        <f>IF(AND(Assumptions!$B$67=1,AT4&gt;=Assumptions!$B$68,AT4&lt;=Assumptions!$B$68+Assumptions!$B$60),IF(AT4=Assumptions!$B$68,Refinance!$B$11,AS16),0)</f>
        <v>1521212.7280936118</v>
      </c>
      <c r="AU12" s="64">
        <f>IF(AND(Assumptions!$B$67=1,AU4&gt;=Assumptions!$B$68,AU4&lt;=Assumptions!$B$68+Assumptions!$B$60),IF(AU4=Assumptions!$B$68,Refinance!$B$11,AT16),0)</f>
        <v>1519633.3757502851</v>
      </c>
      <c r="AV12" s="64">
        <f>IF(AND(Assumptions!$B$67=1,AV4&gt;=Assumptions!$B$68,AV4&lt;=Assumptions!$B$68+Assumptions!$B$60),IF(AV4=Assumptions!$B$68,Refinance!$B$11,AU16),0)</f>
        <v>1518046.1266452419</v>
      </c>
      <c r="AW12" s="64">
        <f>IF(AND(Assumptions!$B$67=1,AW4&gt;=Assumptions!$B$68,AW4&lt;=Assumptions!$B$68+Assumptions!$B$60),IF(AW4=Assumptions!$B$68,Refinance!$B$11,AV16),0)</f>
        <v>1516450.9412946734</v>
      </c>
      <c r="AX12" s="64">
        <f>IF(AND(Assumptions!$B$67=1,AX4&gt;=Assumptions!$B$68,AX4&lt;=Assumptions!$B$68+Assumptions!$B$60),IF(AX4=Assumptions!$B$68,Refinance!$B$11,AW16),0)</f>
        <v>1514847.780017352</v>
      </c>
      <c r="AY12" s="64">
        <f>IF(AND(Assumptions!$B$67=1,AY4&gt;=Assumptions!$B$68,AY4&lt;=Assumptions!$B$68+Assumptions!$B$60),IF(AY4=Assumptions!$B$68,Refinance!$B$11,AX16),0)</f>
        <v>1513236.6029336441</v>
      </c>
      <c r="AZ12" s="64">
        <f>IF(AND(Assumptions!$B$67=1,AZ4&gt;=Assumptions!$B$68,AZ4&lt;=Assumptions!$B$68+Assumptions!$B$60),IF(AZ4=Assumptions!$B$68,Refinance!$B$11,AY16),0)</f>
        <v>1511617.3699645177</v>
      </c>
      <c r="BA12" s="64">
        <f>IF(AND(Assumptions!$B$67=1,BA4&gt;=Assumptions!$B$68,BA4&lt;=Assumptions!$B$68+Assumptions!$B$60),IF(BA4=Assumptions!$B$68,Refinance!$B$11,AZ16),0)</f>
        <v>1509990.0408305456</v>
      </c>
      <c r="BB12" s="64">
        <f>IF(AND(Assumptions!$B$67=1,BB4&gt;=Assumptions!$B$68,BB4&lt;=Assumptions!$B$68+Assumptions!$B$60),IF(BB4=Assumptions!$B$68,Refinance!$B$11,BA16),0)</f>
        <v>1508354.5750509037</v>
      </c>
      <c r="BC12" s="64">
        <f>IF(AND(Assumptions!$B$67=1,BC4&gt;=Assumptions!$B$68,BC4&lt;=Assumptions!$B$68+Assumptions!$B$60),IF(BC4=Assumptions!$B$68,Refinance!$B$11,BB16),0)</f>
        <v>1506710.9319423635</v>
      </c>
      <c r="BD12" s="64">
        <f>IF(AND(Assumptions!$B$67=1,BD4&gt;=Assumptions!$B$68,BD4&lt;=Assumptions!$B$68+Assumptions!$B$60),IF(BD4=Assumptions!$B$68,Refinance!$B$11,BC16),0)</f>
        <v>1505059.0706182807</v>
      </c>
      <c r="BE12" s="64">
        <f>IF(AND(Assumptions!$B$67=1,BE4&gt;=Assumptions!$B$68,BE4&lt;=Assumptions!$B$68+Assumptions!$B$60),IF(BE4=Assumptions!$B$68,Refinance!$B$11,BD16),0)</f>
        <v>1503398.9499875775</v>
      </c>
      <c r="BF12" s="64">
        <f>IF(AND(Assumptions!$B$67=1,BF4&gt;=Assumptions!$B$68,BF4&lt;=Assumptions!$B$68+Assumptions!$B$60),IF(BF4=Assumptions!$B$68,Refinance!$B$11,BE16),0)</f>
        <v>1501730.5287537207</v>
      </c>
      <c r="BG12" s="64">
        <f>IF(AND(Assumptions!$B$67=1,BG4&gt;=Assumptions!$B$68,BG4&lt;=Assumptions!$B$68+Assumptions!$B$60),IF(BG4=Assumptions!$B$68,Refinance!$B$11,BF16),0)</f>
        <v>1500053.7654136945</v>
      </c>
      <c r="BH12" s="64">
        <f>IF(AND(Assumptions!$B$67=1,BH4&gt;=Assumptions!$B$68,BH4&lt;=Assumptions!$B$68+Assumptions!$B$60),IF(BH4=Assumptions!$B$68,Refinance!$B$11,BG16),0)</f>
        <v>1498368.6182569684</v>
      </c>
      <c r="BI12" s="64">
        <f>IF(AND(Assumptions!$B$67=1,BI4&gt;=Assumptions!$B$68,BI4&lt;=Assumptions!$B$68+Assumptions!$B$60),IF(BI4=Assumptions!$B$68,Refinance!$B$11,BH16),0)</f>
        <v>1496675.0453644586</v>
      </c>
      <c r="BJ12" s="64">
        <f>IF(AND(Assumptions!$B$67=1,BJ4&gt;=Assumptions!$B$68,BJ4&lt;=Assumptions!$B$68+Assumptions!$B$60),IF(BJ4=Assumptions!$B$68,Refinance!$B$11,BI16),0)</f>
        <v>1494973.0046074863</v>
      </c>
      <c r="BK12" s="64">
        <f>IF(AND(Assumptions!$B$67=1,BK4&gt;=Assumptions!$B$68,BK4&lt;=Assumptions!$B$68+Assumptions!$B$60),IF(BK4=Assumptions!$B$68,Refinance!$B$11,BJ16),0)</f>
        <v>1493262.453646729</v>
      </c>
      <c r="BL12" s="64">
        <f>IF(AND(Assumptions!$B$67=1,BL4&gt;=Assumptions!$B$68,BL4&lt;=Assumptions!$B$68+Assumptions!$B$60),IF(BL4=Assumptions!$B$68,Refinance!$B$11,BK16),0)</f>
        <v>1491543.3499311679</v>
      </c>
      <c r="BM12" s="64">
        <f>IF(AND(Assumptions!$B$67=1,BM4&gt;=Assumptions!$B$68,BM4&lt;=Assumptions!$B$68+Assumptions!$B$60),IF(BM4=Assumptions!$B$68,Refinance!$B$11,BL16),0)</f>
        <v>1489815.650697029</v>
      </c>
      <c r="BN12" s="64">
        <f>IF(AND(Assumptions!$B$67=1,BN4&gt;=Assumptions!$B$68,BN4&lt;=Assumptions!$B$68+Assumptions!$B$60),IF(BN4=Assumptions!$B$68,Refinance!$B$11,BM16),0)</f>
        <v>1488079.3129667195</v>
      </c>
      <c r="BO12" s="64">
        <f>IF(AND(Assumptions!$B$67=1,BO4&gt;=Assumptions!$B$68,BO4&lt;=Assumptions!$B$68+Assumptions!$B$60),IF(BO4=Assumptions!$B$68,Refinance!$B$11,BN16),0)</f>
        <v>1486334.2935477584</v>
      </c>
      <c r="BP12" s="64">
        <f>IF(AND(Assumptions!$B$67=1,BP4&gt;=Assumptions!$B$68,BP4&lt;=Assumptions!$B$68+Assumptions!$B$60),IF(BP4=Assumptions!$B$68,Refinance!$B$11,BO16),0)</f>
        <v>1484580.5490317026</v>
      </c>
      <c r="BQ12" s="64">
        <f>IF(AND(Assumptions!$B$67=1,BQ4&gt;=Assumptions!$B$68,BQ4&lt;=Assumptions!$B$68+Assumptions!$B$60),IF(BQ4=Assumptions!$B$68,Refinance!$B$11,BP16),0)</f>
        <v>1482818.0357930665</v>
      </c>
      <c r="BR12" s="64">
        <f>IF(AND(Assumptions!$B$67=1,BR4&gt;=Assumptions!$B$68,BR4&lt;=Assumptions!$B$68+Assumptions!$B$60),IF(BR4=Assumptions!$B$68,Refinance!$B$11,BQ16),0)</f>
        <v>1481046.7099882371</v>
      </c>
      <c r="BS12" s="64">
        <f>IF(AND(Assumptions!$B$67=1,BS4&gt;=Assumptions!$B$68,BS4&lt;=Assumptions!$B$68+Assumptions!$B$60),IF(BS4=Assumptions!$B$68,Refinance!$B$11,BR16),0)</f>
        <v>1479266.5275543837</v>
      </c>
      <c r="BT12" s="64">
        <f>IF(AND(Assumptions!$B$67=1,BT4&gt;=Assumptions!$B$68,BT4&lt;=Assumptions!$B$68+Assumptions!$B$60),IF(BT4=Assumptions!$B$68,Refinance!$B$11,BS16),0)</f>
        <v>1477477.444208361</v>
      </c>
      <c r="BU12" s="64">
        <f>IF(AND(Assumptions!$B$67=1,BU4&gt;=Assumptions!$B$68,BU4&lt;=Assumptions!$B$68+Assumptions!$B$60),IF(BU4=Assumptions!$B$68,Refinance!$B$11,BT16),0)</f>
        <v>1475679.4154456081</v>
      </c>
      <c r="BV12" s="64">
        <f>IF(AND(Assumptions!$B$67=1,BV4&gt;=Assumptions!$B$68,BV4&lt;=Assumptions!$B$68+Assumptions!$B$60),IF(BV4=Assumptions!$B$68,Refinance!$B$11,BU16),0)</f>
        <v>1473872.3965390415</v>
      </c>
      <c r="BW12" s="64">
        <f>IF(AND(Assumptions!$B$67=1,BW4&gt;=Assumptions!$B$68,BW4&lt;=Assumptions!$B$68+Assumptions!$B$60),IF(BW4=Assumptions!$B$68,Refinance!$B$11,BV16),0)</f>
        <v>1472056.3425379421</v>
      </c>
      <c r="BX12" s="64">
        <f>IF(AND(Assumptions!$B$67=1,BX4&gt;=Assumptions!$B$68,BX4&lt;=Assumptions!$B$68+Assumptions!$B$60),IF(BX4=Assumptions!$B$68,Refinance!$B$11,BW16),0)</f>
        <v>1470231.2082668371</v>
      </c>
      <c r="BY12" s="64">
        <f>IF(AND(Assumptions!$B$67=1,BY4&gt;=Assumptions!$B$68,BY4&lt;=Assumptions!$B$68+Assumptions!$B$60),IF(BY4=Assumptions!$B$68,Refinance!$B$11,BX16),0)</f>
        <v>1468396.9483243765</v>
      </c>
      <c r="BZ12" s="64">
        <f>IF(AND(Assumptions!$B$67=1,BZ4&gt;=Assumptions!$B$68,BZ4&lt;=Assumptions!$B$68+Assumptions!$B$60),IF(BZ4=Assumptions!$B$68,Refinance!$B$11,BY16),0)</f>
        <v>1466553.5170822036</v>
      </c>
      <c r="CA12" s="64">
        <f>IF(AND(Assumptions!$B$67=1,CA4&gt;=Assumptions!$B$68,CA4&lt;=Assumptions!$B$68+Assumptions!$B$60),IF(CA4=Assumptions!$B$68,Refinance!$B$11,BZ16),0)</f>
        <v>1464700.8686838199</v>
      </c>
      <c r="CB12" s="64">
        <f>IF(AND(Assumptions!$B$67=1,CB4&gt;=Assumptions!$B$68,CB4&lt;=Assumptions!$B$68+Assumptions!$B$60),IF(CB4=Assumptions!$B$68,Refinance!$B$11,CA16),0)</f>
        <v>1462838.9570434443</v>
      </c>
      <c r="CC12" s="64">
        <f>IF(AND(Assumptions!$B$67=1,CC4&gt;=Assumptions!$B$68,CC4&lt;=Assumptions!$B$68+Assumptions!$B$60),IF(CC4=Assumptions!$B$68,Refinance!$B$11,CB16),0)</f>
        <v>1460967.7358448668</v>
      </c>
      <c r="CD12" s="64">
        <f>IF(AND(Assumptions!$B$67=1,CD4&gt;=Assumptions!$B$68,CD4&lt;=Assumptions!$B$68+Assumptions!$B$60),IF(CD4=Assumptions!$B$68,Refinance!$B$11,CC16),0)</f>
        <v>1459087.1585402966</v>
      </c>
      <c r="CE12" s="64">
        <f>IF(AND(Assumptions!$B$67=1,CE4&gt;=Assumptions!$B$68,CE4&lt;=Assumptions!$B$68+Assumptions!$B$60),IF(CE4=Assumptions!$B$68,Refinance!$B$11,CD16),0)</f>
        <v>1457197.1783492034</v>
      </c>
      <c r="CF12" s="64">
        <f>IF(AND(Assumptions!$B$67=1,CF4&gt;=Assumptions!$B$68,CF4&lt;=Assumptions!$B$68+Assumptions!$B$60),IF(CF4=Assumptions!$B$68,Refinance!$B$11,CE16),0)</f>
        <v>1455297.7482571548</v>
      </c>
      <c r="CG12" s="64">
        <f>IF(AND(Assumptions!$B$67=1,CG4&gt;=Assumptions!$B$68,CG4&lt;=Assumptions!$B$68+Assumptions!$B$60),IF(CG4=Assumptions!$B$68,Refinance!$B$11,CF16),0)</f>
        <v>1453388.821014646</v>
      </c>
      <c r="CH12" s="64">
        <f>IF(AND(Assumptions!$B$67=1,CH4&gt;=Assumptions!$B$68,CH4&lt;=Assumptions!$B$68+Assumptions!$B$60),IF(CH4=Assumptions!$B$68,Refinance!$B$11,CG16),0)</f>
        <v>1451470.3491359246</v>
      </c>
      <c r="CI12" s="64">
        <f>IF(AND(Assumptions!$B$67=1,CI4&gt;=Assumptions!$B$68,CI4&lt;=Assumptions!$B$68+Assumptions!$B$60),IF(CI4=Assumptions!$B$68,Refinance!$B$11,CH16),0)</f>
        <v>1449542.2848978096</v>
      </c>
      <c r="CJ12" s="64">
        <f>IF(AND(Assumptions!$B$67=1,CJ4&gt;=Assumptions!$B$68,CJ4&lt;=Assumptions!$B$68+Assumptions!$B$60),IF(CJ4=Assumptions!$B$68,Refinance!$B$11,CI16),0)</f>
        <v>1447604.5803385039</v>
      </c>
      <c r="CK12" s="64">
        <f>IF(AND(Assumptions!$B$67=1,CK4&gt;=Assumptions!$B$68,CK4&lt;=Assumptions!$B$68+Assumptions!$B$60),IF(CK4=Assumptions!$B$68,Refinance!$B$11,CJ16),0)</f>
        <v>1445657.1872564019</v>
      </c>
      <c r="CL12" s="64">
        <f>IF(AND(Assumptions!$B$67=1,CL4&gt;=Assumptions!$B$68,CL4&lt;=Assumptions!$B$68+Assumptions!$B$60),IF(CL4=Assumptions!$B$68,Refinance!$B$11,CK16),0)</f>
        <v>1443700.0572088892</v>
      </c>
      <c r="CM12" s="64">
        <f>IF(AND(Assumptions!$B$67=1,CM4&gt;=Assumptions!$B$68,CM4&lt;=Assumptions!$B$68+Assumptions!$B$60),IF(CM4=Assumptions!$B$68,Refinance!$B$11,CL16),0)</f>
        <v>1441733.141511139</v>
      </c>
      <c r="CN12" s="64">
        <f>IF(AND(Assumptions!$B$67=1,CN4&gt;=Assumptions!$B$68,CN4&lt;=Assumptions!$B$68+Assumptions!$B$60),IF(CN4=Assumptions!$B$68,Refinance!$B$11,CM16),0)</f>
        <v>1439756.3912349001</v>
      </c>
      <c r="CO12" s="64">
        <f>IF(AND(Assumptions!$B$67=1,CO4&gt;=Assumptions!$B$68,CO4&lt;=Assumptions!$B$68+Assumptions!$B$60),IF(CO4=Assumptions!$B$68,Refinance!$B$11,CN16),0)</f>
        <v>1437769.75720728</v>
      </c>
      <c r="CP12" s="64">
        <f>IF(AND(Assumptions!$B$67=1,CP4&gt;=Assumptions!$B$68,CP4&lt;=Assumptions!$B$68+Assumptions!$B$60),IF(CP4=Assumptions!$B$68,Refinance!$B$11,CO16),0)</f>
        <v>1435773.1900095218</v>
      </c>
      <c r="CQ12" s="64">
        <f>IF(AND(Assumptions!$B$67=1,CQ4&gt;=Assumptions!$B$68,CQ4&lt;=Assumptions!$B$68+Assumptions!$B$60),IF(CQ4=Assumptions!$B$68,Refinance!$B$11,CP16),0)</f>
        <v>1433766.6399757748</v>
      </c>
      <c r="CR12" s="64">
        <f>IF(AND(Assumptions!$B$67=1,CR4&gt;=Assumptions!$B$68,CR4&lt;=Assumptions!$B$68+Assumptions!$B$60),IF(CR4=Assumptions!$B$68,Refinance!$B$11,CQ16),0)</f>
        <v>1431750.057191859</v>
      </c>
      <c r="CS12" s="64">
        <f>IF(AND(Assumptions!$B$67=1,CS4&gt;=Assumptions!$B$68,CS4&lt;=Assumptions!$B$68+Assumptions!$B$60),IF(CS4=Assumptions!$B$68,Refinance!$B$11,CR16),0)</f>
        <v>1429723.3914940236</v>
      </c>
      <c r="CT12" s="64">
        <f>IF(AND(Assumptions!$B$67=1,CT4&gt;=Assumptions!$B$68,CT4&lt;=Assumptions!$B$68+Assumptions!$B$60),IF(CT4=Assumptions!$B$68,Refinance!$B$11,CS16),0)</f>
        <v>1427686.592467699</v>
      </c>
      <c r="CU12" s="64">
        <f>IF(AND(Assumptions!$B$67=1,CU4&gt;=Assumptions!$B$68,CU4&lt;=Assumptions!$B$68+Assumptions!$B$60),IF(CU4=Assumptions!$B$68,Refinance!$B$11,CT16),0)</f>
        <v>1425639.6094462427</v>
      </c>
      <c r="CV12" s="64">
        <f>IF(AND(Assumptions!$B$67=1,CV4&gt;=Assumptions!$B$68,CV4&lt;=Assumptions!$B$68+Assumptions!$B$60),IF(CV4=Assumptions!$B$68,Refinance!$B$11,CU16),0)</f>
        <v>1423582.3915096791</v>
      </c>
      <c r="CW12" s="64">
        <f>IF(AND(Assumptions!$B$67=1,CW4&gt;=Assumptions!$B$68,CW4&lt;=Assumptions!$B$68+Assumptions!$B$60),IF(CW4=Assumptions!$B$68,Refinance!$B$11,CV16),0)</f>
        <v>1421514.8874834329</v>
      </c>
      <c r="CX12" s="64">
        <f>IF(AND(Assumptions!$B$67=1,CX4&gt;=Assumptions!$B$68,CX4&lt;=Assumptions!$B$68+Assumptions!$B$60),IF(CX4=Assumptions!$B$68,Refinance!$B$11,CW16),0)</f>
        <v>1419437.0459370555</v>
      </c>
      <c r="CY12" s="64">
        <f>IF(AND(Assumptions!$B$67=1,CY4&gt;=Assumptions!$B$68,CY4&lt;=Assumptions!$B$68+Assumptions!$B$60),IF(CY4=Assumptions!$B$68,Refinance!$B$11,CX16),0)</f>
        <v>1417348.8151829462</v>
      </c>
      <c r="CZ12" s="64">
        <f>IF(AND(Assumptions!$B$67=1,CZ4&gt;=Assumptions!$B$68,CZ4&lt;=Assumptions!$B$68+Assumptions!$B$60),IF(CZ4=Assumptions!$B$68,Refinance!$B$11,CY16),0)</f>
        <v>1415250.1432750663</v>
      </c>
      <c r="DA12" s="64">
        <f>IF(AND(Assumptions!$B$67=1,DA4&gt;=Assumptions!$B$68,DA4&lt;=Assumptions!$B$68+Assumptions!$B$60),IF(DA4=Assumptions!$B$68,Refinance!$B$11,CZ16),0)</f>
        <v>1413140.978007647</v>
      </c>
      <c r="DB12" s="64">
        <f>IF(AND(Assumptions!$B$67=1,DB4&gt;=Assumptions!$B$68,DB4&lt;=Assumptions!$B$68+Assumptions!$B$60),IF(DB4=Assumptions!$B$68,Refinance!$B$11,DA16),0)</f>
        <v>1411021.2669138906</v>
      </c>
      <c r="DC12" s="64">
        <f>IF(AND(Assumptions!$B$67=1,DC4&gt;=Assumptions!$B$68,DC4&lt;=Assumptions!$B$68+Assumptions!$B$60),IF(DC4=Assumptions!$B$68,Refinance!$B$11,DB16),0)</f>
        <v>1408890.9572646653</v>
      </c>
      <c r="DD12" s="64">
        <f>IF(AND(Assumptions!$B$67=1,DD4&gt;=Assumptions!$B$68,DD4&lt;=Assumptions!$B$68+Assumptions!$B$60),IF(DD4=Assumptions!$B$68,Refinance!$B$11,DC16),0)</f>
        <v>1406749.996067194</v>
      </c>
      <c r="DE12" s="64">
        <f>IF(AND(Assumptions!$B$67=1,DE4&gt;=Assumptions!$B$68,DE4&lt;=Assumptions!$B$68+Assumptions!$B$60),IF(DE4=Assumptions!$B$68,Refinance!$B$11,DD16),0)</f>
        <v>1404598.3300637354</v>
      </c>
      <c r="DF12" s="64">
        <f>IF(AND(Assumptions!$B$67=1,DF4&gt;=Assumptions!$B$68,DF4&lt;=Assumptions!$B$68+Assumptions!$B$60),IF(DF4=Assumptions!$B$68,Refinance!$B$11,DE16),0)</f>
        <v>1402435.9057302594</v>
      </c>
      <c r="DG12" s="64">
        <f>IF(AND(Assumptions!$B$67=1,DG4&gt;=Assumptions!$B$68,DG4&lt;=Assumptions!$B$68+Assumptions!$B$60),IF(DG4=Assumptions!$B$68,Refinance!$B$11,DF16),0)</f>
        <v>1400262.6692751159</v>
      </c>
      <c r="DH12" s="64">
        <f>IF(AND(Assumptions!$B$67=1,DH4&gt;=Assumptions!$B$68,DH4&lt;=Assumptions!$B$68+Assumptions!$B$60),IF(DH4=Assumptions!$B$68,Refinance!$B$11,DG16),0)</f>
        <v>1398078.5666376969</v>
      </c>
      <c r="DI12" s="64">
        <f>IF(AND(Assumptions!$B$67=1,DI4&gt;=Assumptions!$B$68,DI4&lt;=Assumptions!$B$68+Assumptions!$B$60),IF(DI4=Assumptions!$B$68,Refinance!$B$11,DH16),0)</f>
        <v>1395883.5434870909</v>
      </c>
      <c r="DJ12" s="64">
        <f>IF(AND(Assumptions!$B$67=1,DJ4&gt;=Assumptions!$B$68,DJ4&lt;=Assumptions!$B$68+Assumptions!$B$60),IF(DJ4=Assumptions!$B$68,Refinance!$B$11,DI16),0)</f>
        <v>1393677.5452207315</v>
      </c>
      <c r="DK12" s="64">
        <f>IF(AND(Assumptions!$B$67=1,DK4&gt;=Assumptions!$B$68,DK4&lt;=Assumptions!$B$68+Assumptions!$B$60),IF(DK4=Assumptions!$B$68,Refinance!$B$11,DJ16),0)</f>
        <v>1391460.5169630405</v>
      </c>
      <c r="DL12" s="64">
        <f>IF(AND(Assumptions!$B$67=1,DL4&gt;=Assumptions!$B$68,DL4&lt;=Assumptions!$B$68+Assumptions!$B$60),IF(DL4=Assumptions!$B$68,Refinance!$B$11,DK16),0)</f>
        <v>1389232.403564061</v>
      </c>
      <c r="DM12" s="64">
        <f>IF(AND(Assumptions!$B$67=1,DM4&gt;=Assumptions!$B$68,DM4&lt;=Assumptions!$B$68+Assumptions!$B$60),IF(DM4=Assumptions!$B$68,Refinance!$B$11,DL16),0)</f>
        <v>1386993.1495980867</v>
      </c>
      <c r="DN12" s="64">
        <f>IF(AND(Assumptions!$B$67=1,DN4&gt;=Assumptions!$B$68,DN4&lt;=Assumptions!$B$68+Assumptions!$B$60),IF(DN4=Assumptions!$B$68,Refinance!$B$11,DM16),0)</f>
        <v>1384742.6993622824</v>
      </c>
      <c r="DO12" s="64">
        <f>IF(AND(Assumptions!$B$67=1,DO4&gt;=Assumptions!$B$68,DO4&lt;=Assumptions!$B$68+Assumptions!$B$60),IF(DO4=Assumptions!$B$68,Refinance!$B$11,DN16),0)</f>
        <v>1382480.9968752991</v>
      </c>
      <c r="DP12" s="64">
        <f>IF(AND(Assumptions!$B$67=1,DP4&gt;=Assumptions!$B$68,DP4&lt;=Assumptions!$B$68+Assumptions!$B$60),IF(DP4=Assumptions!$B$68,Refinance!$B$11,DO16),0)</f>
        <v>1380207.985875881</v>
      </c>
      <c r="DQ12" s="64">
        <f>IF(AND(Assumptions!$B$67=1,DQ4&gt;=Assumptions!$B$68,DQ4&lt;=Assumptions!$B$68+Assumptions!$B$60),IF(DQ4=Assumptions!$B$68,Refinance!$B$11,DP16),0)</f>
        <v>1377923.6098214658</v>
      </c>
      <c r="DR12" s="64">
        <f>IF(AND(Assumptions!$B$67=1,DR4&gt;=Assumptions!$B$68,DR4&lt;=Assumptions!$B$68+Assumptions!$B$60),IF(DR4=Assumptions!$B$68,Refinance!$B$11,DQ16),0)</f>
        <v>1375627.8118867786</v>
      </c>
      <c r="DS12" s="64">
        <f>IF(AND(Assumptions!$B$67=1,DS4&gt;=Assumptions!$B$68,DS4&lt;=Assumptions!$B$68+Assumptions!$B$60),IF(DS4=Assumptions!$B$68,Refinance!$B$11,DR16),0)</f>
        <v>1373320.5349624178</v>
      </c>
    </row>
    <row r="13" spans="1:123" x14ac:dyDescent="0.25">
      <c r="A13" s="51" t="s">
        <v>332</v>
      </c>
      <c r="D13" s="64">
        <f>IF(AND(Assumptions!$B$67=1,D4&gt;=Assumptions!$B$68,D4&lt;=Assumptions!$B$68+Assumptions!$B$60),D12*Assumptions!$B$89,0)</f>
        <v>0</v>
      </c>
      <c r="E13" s="64">
        <f>IF(AND(Assumptions!$B$67=1,E4&gt;=Assumptions!$B$68,E4&lt;=Assumptions!$B$68+Assumptions!$B$60),E12*Assumptions!$B$89,0)</f>
        <v>0</v>
      </c>
      <c r="F13" s="64">
        <f>IF(AND(Assumptions!$B$67=1,F4&gt;=Assumptions!$B$68,F4&lt;=Assumptions!$B$68+Assumptions!$B$60),F12*Assumptions!$B$89,0)</f>
        <v>0</v>
      </c>
      <c r="G13" s="64">
        <f>IF(AND(Assumptions!$B$67=1,G4&gt;=Assumptions!$B$68,G4&lt;=Assumptions!$B$68+Assumptions!$B$60),G12*Assumptions!$B$89,0)</f>
        <v>0</v>
      </c>
      <c r="H13" s="64">
        <f>IF(AND(Assumptions!$B$67=1,H4&gt;=Assumptions!$B$68,H4&lt;=Assumptions!$B$68+Assumptions!$B$60),H12*Assumptions!$B$89,0)</f>
        <v>0</v>
      </c>
      <c r="I13" s="64">
        <f>IF(AND(Assumptions!$B$67=1,I4&gt;=Assumptions!$B$68,I4&lt;=Assumptions!$B$68+Assumptions!$B$60),I12*Assumptions!$B$89,0)</f>
        <v>0</v>
      </c>
      <c r="J13" s="64">
        <f>IF(AND(Assumptions!$B$67=1,J4&gt;=Assumptions!$B$68,J4&lt;=Assumptions!$B$68+Assumptions!$B$60),J12*Assumptions!$B$89,0)</f>
        <v>0</v>
      </c>
      <c r="K13" s="64">
        <f>IF(AND(Assumptions!$B$67=1,K4&gt;=Assumptions!$B$68,K4&lt;=Assumptions!$B$68+Assumptions!$B$60),K12*Assumptions!$B$89,0)</f>
        <v>0</v>
      </c>
      <c r="L13" s="64">
        <f>IF(AND(Assumptions!$B$67=1,L4&gt;=Assumptions!$B$68,L4&lt;=Assumptions!$B$68+Assumptions!$B$60),L12*Assumptions!$B$89,0)</f>
        <v>0</v>
      </c>
      <c r="M13" s="64">
        <f>IF(AND(Assumptions!$B$67=1,M4&gt;=Assumptions!$B$68,M4&lt;=Assumptions!$B$68+Assumptions!$B$60),M12*Assumptions!$B$89,0)</f>
        <v>0</v>
      </c>
      <c r="N13" s="64">
        <f>IF(AND(Assumptions!$B$67=1,N4&gt;=Assumptions!$B$68,N4&lt;=Assumptions!$B$68+Assumptions!$B$60),N12*Assumptions!$B$89,0)</f>
        <v>0</v>
      </c>
      <c r="O13" s="64">
        <f>IF(AND(Assumptions!$B$67=1,O4&gt;=Assumptions!$B$68,O4&lt;=Assumptions!$B$68+Assumptions!$B$60),O12*Assumptions!$B$89,0)</f>
        <v>0</v>
      </c>
      <c r="P13" s="64">
        <f>IF(AND(Assumptions!$B$67=1,P4&gt;=Assumptions!$B$68,P4&lt;=Assumptions!$B$68+Assumptions!$B$60),P12*Assumptions!$B$89,0)</f>
        <v>0</v>
      </c>
      <c r="Q13" s="64">
        <f>IF(AND(Assumptions!$B$67=1,Q4&gt;=Assumptions!$B$68,Q4&lt;=Assumptions!$B$68+Assumptions!$B$60),Q12*Assumptions!$B$89,0)</f>
        <v>0</v>
      </c>
      <c r="R13" s="64">
        <f>IF(AND(Assumptions!$B$67=1,R4&gt;=Assumptions!$B$68,R4&lt;=Assumptions!$B$68+Assumptions!$B$60),R12*Assumptions!$B$89,0)</f>
        <v>0</v>
      </c>
      <c r="S13" s="64">
        <f>IF(AND(Assumptions!$B$67=1,S4&gt;=Assumptions!$B$68,S4&lt;=Assumptions!$B$68+Assumptions!$B$60),S12*Assumptions!$B$89,0)</f>
        <v>0</v>
      </c>
      <c r="T13" s="64">
        <f>IF(AND(Assumptions!$B$67=1,T4&gt;=Assumptions!$B$68,T4&lt;=Assumptions!$B$68+Assumptions!$B$60),T12*Assumptions!$B$89,0)</f>
        <v>0</v>
      </c>
      <c r="U13" s="64">
        <f>IF(AND(Assumptions!$B$67=1,U4&gt;=Assumptions!$B$68,U4&lt;=Assumptions!$B$68+Assumptions!$B$60),U12*Assumptions!$B$89,0)</f>
        <v>0</v>
      </c>
      <c r="V13" s="64">
        <f>IF(AND(Assumptions!$B$67=1,V4&gt;=Assumptions!$B$68,V4&lt;=Assumptions!$B$68+Assumptions!$B$60),V12*Assumptions!$B$89,0)</f>
        <v>0</v>
      </c>
      <c r="W13" s="64">
        <f>IF(AND(Assumptions!$B$67=1,W4&gt;=Assumptions!$B$68,W4&lt;=Assumptions!$B$68+Assumptions!$B$60),W12*Assumptions!$B$89,0)</f>
        <v>0</v>
      </c>
      <c r="X13" s="64">
        <f>IF(AND(Assumptions!$B$67=1,X4&gt;=Assumptions!$B$68,X4&lt;=Assumptions!$B$68+Assumptions!$B$60),X12*Assumptions!$B$89,0)</f>
        <v>0</v>
      </c>
      <c r="Y13" s="64">
        <f>IF(AND(Assumptions!$B$67=1,Y4&gt;=Assumptions!$B$68,Y4&lt;=Assumptions!$B$68+Assumptions!$B$60),Y12*Assumptions!$B$89,0)</f>
        <v>0</v>
      </c>
      <c r="Z13" s="64">
        <f>IF(AND(Assumptions!$B$67=1,Z4&gt;=Assumptions!$B$68,Z4&lt;=Assumptions!$B$68+Assumptions!$B$60),Z12*Assumptions!$B$89,0)</f>
        <v>0</v>
      </c>
      <c r="AA13" s="64">
        <f>IF(AND(Assumptions!$B$67=1,AA4&gt;=Assumptions!$B$68,AA4&lt;=Assumptions!$B$68+Assumptions!$B$60),AA12*Assumptions!$B$89,0)</f>
        <v>0</v>
      </c>
      <c r="AB13" s="64">
        <f>IF(AND(Assumptions!$B$67=1,AB4&gt;=Assumptions!$B$68,AB4&lt;=Assumptions!$B$68+Assumptions!$B$60),AB12*Assumptions!$B$89,0)</f>
        <v>0</v>
      </c>
      <c r="AC13" s="64">
        <f>IF(AND(Assumptions!$B$67=1,AC4&gt;=Assumptions!$B$68,AC4&lt;=Assumptions!$B$68+Assumptions!$B$60),AC12*Assumptions!$B$89,0)</f>
        <v>0</v>
      </c>
      <c r="AD13" s="64">
        <f>IF(AND(Assumptions!$B$67=1,AD4&gt;=Assumptions!$B$68,AD4&lt;=Assumptions!$B$68+Assumptions!$B$60),AD12*Assumptions!$B$89,0)</f>
        <v>0</v>
      </c>
      <c r="AE13" s="64">
        <f>IF(AND(Assumptions!$B$67=1,AE4&gt;=Assumptions!$B$68,AE4&lt;=Assumptions!$B$68+Assumptions!$B$60),AE12*Assumptions!$B$89,0)</f>
        <v>0</v>
      </c>
      <c r="AF13" s="64">
        <f>IF(AND(Assumptions!$B$67=1,AF4&gt;=Assumptions!$B$68,AF4&lt;=Assumptions!$B$68+Assumptions!$B$60),AF12*Assumptions!$B$89,0)</f>
        <v>0</v>
      </c>
      <c r="AG13" s="64">
        <f>IF(AND(Assumptions!$B$67=1,AG4&gt;=Assumptions!$B$68,AG4&lt;=Assumptions!$B$68+Assumptions!$B$60),AG12*Assumptions!$B$89,0)</f>
        <v>0</v>
      </c>
      <c r="AH13" s="64">
        <f>IF(AND(Assumptions!$B$67=1,AH4&gt;=Assumptions!$B$68,AH4&lt;=Assumptions!$B$68+Assumptions!$B$60),AH12*Assumptions!$B$89,0)</f>
        <v>0</v>
      </c>
      <c r="AI13" s="64">
        <f>IF(AND(Assumptions!$B$67=1,AI4&gt;=Assumptions!$B$68,AI4&lt;=Assumptions!$B$68+Assumptions!$B$60),AI12*Assumptions!$B$89,0)</f>
        <v>0</v>
      </c>
      <c r="AJ13" s="64">
        <f>IF(AND(Assumptions!$B$67=1,AJ4&gt;=Assumptions!$B$68,AJ4&lt;=Assumptions!$B$68+Assumptions!$B$60),AJ12*Assumptions!$B$89,0)</f>
        <v>0</v>
      </c>
      <c r="AK13" s="64">
        <f>IF(AND(Assumptions!$B$67=1,AK4&gt;=Assumptions!$B$68,AK4&lt;=Assumptions!$B$68+Assumptions!$B$60),AK12*Assumptions!$B$89,0)</f>
        <v>0</v>
      </c>
      <c r="AL13" s="64">
        <f>IF(AND(Assumptions!$B$67=1,AL4&gt;=Assumptions!$B$68,AL4&lt;=Assumptions!$B$68+Assumptions!$B$60),AL12*Assumptions!$B$89,0)</f>
        <v>0</v>
      </c>
      <c r="AM13" s="64">
        <f>IF(AND(Assumptions!$B$67=1,AM4&gt;=Assumptions!$B$68,AM4&lt;=Assumptions!$B$68+Assumptions!$B$60),AM12*Assumptions!$B$89,0)</f>
        <v>7660.25180401137</v>
      </c>
      <c r="AN13" s="64">
        <f>IF(AND(Assumptions!$B$67=1,AN4&gt;=Assumptions!$B$68,AN4&lt;=Assumptions!$B$68+Assumptions!$B$60),AN12*Assumptions!$B$89,0)</f>
        <v>7652.6259831124535</v>
      </c>
      <c r="AO13" s="64">
        <f>IF(AND(Assumptions!$B$67=1,AO4&gt;=Assumptions!$B$68,AO4&lt;=Assumptions!$B$68+Assumptions!$B$60),AO12*Assumptions!$B$89,0)</f>
        <v>7644.9620331090418</v>
      </c>
      <c r="AP13" s="64">
        <f>IF(AND(Assumptions!$B$67=1,AP4&gt;=Assumptions!$B$68,AP4&lt;=Assumptions!$B$68+Assumptions!$B$60),AP12*Assumptions!$B$89,0)</f>
        <v>7637.2597633556143</v>
      </c>
      <c r="AQ13" s="64">
        <f>IF(AND(Assumptions!$B$67=1,AQ4&gt;=Assumptions!$B$68,AQ4&lt;=Assumptions!$B$68+Assumptions!$B$60),AQ12*Assumptions!$B$89,0)</f>
        <v>7629.5189822534185</v>
      </c>
      <c r="AR13" s="64">
        <f>IF(AND(Assumptions!$B$67=1,AR4&gt;=Assumptions!$B$68,AR4&lt;=Assumptions!$B$68+Assumptions!$B$60),AR12*Assumptions!$B$89,0)</f>
        <v>7621.7394972457123</v>
      </c>
      <c r="AS13" s="64">
        <f>IF(AND(Assumptions!$B$67=1,AS4&gt;=Assumptions!$B$68,AS4&lt;=Assumptions!$B$68+Assumptions!$B$60),AS12*Assumptions!$B$89,0)</f>
        <v>7613.9211148129671</v>
      </c>
      <c r="AT13" s="64">
        <f>IF(AND(Assumptions!$B$67=1,AT4&gt;=Assumptions!$B$68,AT4&lt;=Assumptions!$B$68+Assumptions!$B$60),AT12*Assumptions!$B$89,0)</f>
        <v>7606.063640468059</v>
      </c>
      <c r="AU13" s="64">
        <f>IF(AND(Assumptions!$B$67=1,AU4&gt;=Assumptions!$B$68,AU4&lt;=Assumptions!$B$68+Assumptions!$B$60),AU12*Assumptions!$B$89,0)</f>
        <v>7598.1668787514254</v>
      </c>
      <c r="AV13" s="64">
        <f>IF(AND(Assumptions!$B$67=1,AV4&gt;=Assumptions!$B$68,AV4&lt;=Assumptions!$B$68+Assumptions!$B$60),AV12*Assumptions!$B$89,0)</f>
        <v>7590.2306332262096</v>
      </c>
      <c r="AW13" s="64">
        <f>IF(AND(Assumptions!$B$67=1,AW4&gt;=Assumptions!$B$68,AW4&lt;=Assumptions!$B$68+Assumptions!$B$60),AW12*Assumptions!$B$89,0)</f>
        <v>7582.2547064733672</v>
      </c>
      <c r="AX13" s="64">
        <f>IF(AND(Assumptions!$B$67=1,AX4&gt;=Assumptions!$B$68,AX4&lt;=Assumptions!$B$68+Assumptions!$B$60),AX12*Assumptions!$B$89,0)</f>
        <v>7574.2389000867597</v>
      </c>
      <c r="AY13" s="64">
        <f>IF(AND(Assumptions!$B$67=1,AY4&gt;=Assumptions!$B$68,AY4&lt;=Assumptions!$B$68+Assumptions!$B$60),AY12*Assumptions!$B$89,0)</f>
        <v>7566.1830146682205</v>
      </c>
      <c r="AZ13" s="64">
        <f>IF(AND(Assumptions!$B$67=1,AZ4&gt;=Assumptions!$B$68,AZ4&lt;=Assumptions!$B$68+Assumptions!$B$60),AZ12*Assumptions!$B$89,0)</f>
        <v>7558.0868498225882</v>
      </c>
      <c r="BA13" s="64">
        <f>IF(AND(Assumptions!$B$67=1,BA4&gt;=Assumptions!$B$68,BA4&lt;=Assumptions!$B$68+Assumptions!$B$60),BA12*Assumptions!$B$89,0)</f>
        <v>7549.9502041527285</v>
      </c>
      <c r="BB13" s="64">
        <f>IF(AND(Assumptions!$B$67=1,BB4&gt;=Assumptions!$B$68,BB4&lt;=Assumptions!$B$68+Assumptions!$B$60),BB12*Assumptions!$B$89,0)</f>
        <v>7541.772875254519</v>
      </c>
      <c r="BC13" s="64">
        <f>IF(AND(Assumptions!$B$67=1,BC4&gt;=Assumptions!$B$68,BC4&lt;=Assumptions!$B$68+Assumptions!$B$60),BC12*Assumptions!$B$89,0)</f>
        <v>7533.5546597118173</v>
      </c>
      <c r="BD13" s="64">
        <f>IF(AND(Assumptions!$B$67=1,BD4&gt;=Assumptions!$B$68,BD4&lt;=Assumptions!$B$68+Assumptions!$B$60),BD12*Assumptions!$B$89,0)</f>
        <v>7525.2953530914037</v>
      </c>
      <c r="BE13" s="64">
        <f>IF(AND(Assumptions!$B$67=1,BE4&gt;=Assumptions!$B$68,BE4&lt;=Assumptions!$B$68+Assumptions!$B$60),BE12*Assumptions!$B$89,0)</f>
        <v>7516.9947499378877</v>
      </c>
      <c r="BF13" s="64">
        <f>IF(AND(Assumptions!$B$67=1,BF4&gt;=Assumptions!$B$68,BF4&lt;=Assumptions!$B$68+Assumptions!$B$60),BF12*Assumptions!$B$89,0)</f>
        <v>7508.6526437686034</v>
      </c>
      <c r="BG13" s="64">
        <f>IF(AND(Assumptions!$B$67=1,BG4&gt;=Assumptions!$B$68,BG4&lt;=Assumptions!$B$68+Assumptions!$B$60),BG12*Assumptions!$B$89,0)</f>
        <v>7500.268827068473</v>
      </c>
      <c r="BH13" s="64">
        <f>IF(AND(Assumptions!$B$67=1,BH4&gt;=Assumptions!$B$68,BH4&lt;=Assumptions!$B$68+Assumptions!$B$60),BH12*Assumptions!$B$89,0)</f>
        <v>7491.8430912848426</v>
      </c>
      <c r="BI13" s="64">
        <f>IF(AND(Assumptions!$B$67=1,BI4&gt;=Assumptions!$B$68,BI4&lt;=Assumptions!$B$68+Assumptions!$B$60),BI12*Assumptions!$B$89,0)</f>
        <v>7483.3752268222934</v>
      </c>
      <c r="BJ13" s="64">
        <f>IF(AND(Assumptions!$B$67=1,BJ4&gt;=Assumptions!$B$68,BJ4&lt;=Assumptions!$B$68+Assumptions!$B$60),BJ12*Assumptions!$B$89,0)</f>
        <v>7474.8650230374315</v>
      </c>
      <c r="BK13" s="64">
        <f>IF(AND(Assumptions!$B$67=1,BK4&gt;=Assumptions!$B$68,BK4&lt;=Assumptions!$B$68+Assumptions!$B$60),BK12*Assumptions!$B$89,0)</f>
        <v>7466.3122682336452</v>
      </c>
      <c r="BL13" s="64">
        <f>IF(AND(Assumptions!$B$67=1,BL4&gt;=Assumptions!$B$68,BL4&lt;=Assumptions!$B$68+Assumptions!$B$60),BL12*Assumptions!$B$89,0)</f>
        <v>7457.7167496558395</v>
      </c>
      <c r="BM13" s="64">
        <f>IF(AND(Assumptions!$B$67=1,BM4&gt;=Assumptions!$B$68,BM4&lt;=Assumptions!$B$68+Assumptions!$B$60),BM12*Assumptions!$B$89,0)</f>
        <v>7449.0782534851451</v>
      </c>
      <c r="BN13" s="64">
        <f>IF(AND(Assumptions!$B$67=1,BN4&gt;=Assumptions!$B$68,BN4&lt;=Assumptions!$B$68+Assumptions!$B$60),BN12*Assumptions!$B$89,0)</f>
        <v>7440.3965648335979</v>
      </c>
      <c r="BO13" s="64">
        <f>IF(AND(Assumptions!$B$67=1,BO4&gt;=Assumptions!$B$68,BO4&lt;=Assumptions!$B$68+Assumptions!$B$60),BO12*Assumptions!$B$89,0)</f>
        <v>7431.6714677387918</v>
      </c>
      <c r="BP13" s="64">
        <f>IF(AND(Assumptions!$B$67=1,BP4&gt;=Assumptions!$B$68,BP4&lt;=Assumptions!$B$68+Assumptions!$B$60),BP12*Assumptions!$B$89,0)</f>
        <v>7422.9027451585134</v>
      </c>
      <c r="BQ13" s="64">
        <f>IF(AND(Assumptions!$B$67=1,BQ4&gt;=Assumptions!$B$68,BQ4&lt;=Assumptions!$B$68+Assumptions!$B$60),BQ12*Assumptions!$B$89,0)</f>
        <v>7414.0901789653326</v>
      </c>
      <c r="BR13" s="64">
        <f>IF(AND(Assumptions!$B$67=1,BR4&gt;=Assumptions!$B$68,BR4&lt;=Assumptions!$B$68+Assumptions!$B$60),BR12*Assumptions!$B$89,0)</f>
        <v>7405.2335499411856</v>
      </c>
      <c r="BS13" s="64">
        <f>IF(AND(Assumptions!$B$67=1,BS4&gt;=Assumptions!$B$68,BS4&lt;=Assumptions!$B$68+Assumptions!$B$60),BS12*Assumptions!$B$89,0)</f>
        <v>7396.3326377719186</v>
      </c>
      <c r="BT13" s="64">
        <f>IF(AND(Assumptions!$B$67=1,BT4&gt;=Assumptions!$B$68,BT4&lt;=Assumptions!$B$68+Assumptions!$B$60),BT12*Assumptions!$B$89,0)</f>
        <v>7387.3872210418049</v>
      </c>
      <c r="BU13" s="64">
        <f>IF(AND(Assumptions!$B$67=1,BU4&gt;=Assumptions!$B$68,BU4&lt;=Assumptions!$B$68+Assumptions!$B$60),BU12*Assumptions!$B$89,0)</f>
        <v>7378.3970772280409</v>
      </c>
      <c r="BV13" s="64">
        <f>IF(AND(Assumptions!$B$67=1,BV4&gt;=Assumptions!$B$68,BV4&lt;=Assumptions!$B$68+Assumptions!$B$60),BV12*Assumptions!$B$89,0)</f>
        <v>7369.3619826952081</v>
      </c>
      <c r="BW13" s="64">
        <f>IF(AND(Assumptions!$B$67=1,BW4&gt;=Assumptions!$B$68,BW4&lt;=Assumptions!$B$68+Assumptions!$B$60),BW12*Assumptions!$B$89,0)</f>
        <v>7360.2817126897107</v>
      </c>
      <c r="BX13" s="64">
        <f>IF(AND(Assumptions!$B$67=1,BX4&gt;=Assumptions!$B$68,BX4&lt;=Assumptions!$B$68+Assumptions!$B$60),BX12*Assumptions!$B$89,0)</f>
        <v>7351.1560413341858</v>
      </c>
      <c r="BY13" s="64">
        <f>IF(AND(Assumptions!$B$67=1,BY4&gt;=Assumptions!$B$68,BY4&lt;=Assumptions!$B$68+Assumptions!$B$60),BY12*Assumptions!$B$89,0)</f>
        <v>7341.9847416218827</v>
      </c>
      <c r="BZ13" s="64">
        <f>IF(AND(Assumptions!$B$67=1,BZ4&gt;=Assumptions!$B$68,BZ4&lt;=Assumptions!$B$68+Assumptions!$B$60),BZ12*Assumptions!$B$89,0)</f>
        <v>7332.7675854110184</v>
      </c>
      <c r="CA13" s="64">
        <f>IF(AND(Assumptions!$B$67=1,CA4&gt;=Assumptions!$B$68,CA4&lt;=Assumptions!$B$68+Assumptions!$B$60),CA12*Assumptions!$B$89,0)</f>
        <v>7323.5043434190993</v>
      </c>
      <c r="CB13" s="64">
        <f>IF(AND(Assumptions!$B$67=1,CB4&gt;=Assumptions!$B$68,CB4&lt;=Assumptions!$B$68+Assumptions!$B$60),CB12*Assumptions!$B$89,0)</f>
        <v>7314.1947852172216</v>
      </c>
      <c r="CC13" s="64">
        <f>IF(AND(Assumptions!$B$67=1,CC4&gt;=Assumptions!$B$68,CC4&lt;=Assumptions!$B$68+Assumptions!$B$60),CC12*Assumptions!$B$89,0)</f>
        <v>7304.8386792243346</v>
      </c>
      <c r="CD13" s="64">
        <f>IF(AND(Assumptions!$B$67=1,CD4&gt;=Assumptions!$B$68,CD4&lt;=Assumptions!$B$68+Assumptions!$B$60),CD12*Assumptions!$B$89,0)</f>
        <v>7295.4357927014835</v>
      </c>
      <c r="CE13" s="64">
        <f>IF(AND(Assumptions!$B$67=1,CE4&gt;=Assumptions!$B$68,CE4&lt;=Assumptions!$B$68+Assumptions!$B$60),CE12*Assumptions!$B$89,0)</f>
        <v>7285.9858917460169</v>
      </c>
      <c r="CF13" s="64">
        <f>IF(AND(Assumptions!$B$67=1,CF4&gt;=Assumptions!$B$68,CF4&lt;=Assumptions!$B$68+Assumptions!$B$60),CF12*Assumptions!$B$89,0)</f>
        <v>7276.4887412857743</v>
      </c>
      <c r="CG13" s="64">
        <f>IF(AND(Assumptions!$B$67=1,CG4&gt;=Assumptions!$B$68,CG4&lt;=Assumptions!$B$68+Assumptions!$B$60),CG12*Assumptions!$B$89,0)</f>
        <v>7266.9441050732303</v>
      </c>
      <c r="CH13" s="64">
        <f>IF(AND(Assumptions!$B$67=1,CH4&gt;=Assumptions!$B$68,CH4&lt;=Assumptions!$B$68+Assumptions!$B$60),CH12*Assumptions!$B$89,0)</f>
        <v>7257.3517456796235</v>
      </c>
      <c r="CI13" s="64">
        <f>IF(AND(Assumptions!$B$67=1,CI4&gt;=Assumptions!$B$68,CI4&lt;=Assumptions!$B$68+Assumptions!$B$60),CI12*Assumptions!$B$89,0)</f>
        <v>7247.7114244890481</v>
      </c>
      <c r="CJ13" s="64">
        <f>IF(AND(Assumptions!$B$67=1,CJ4&gt;=Assumptions!$B$68,CJ4&lt;=Assumptions!$B$68+Assumptions!$B$60),CJ12*Assumptions!$B$89,0)</f>
        <v>7238.0229016925196</v>
      </c>
      <c r="CK13" s="64">
        <f>IF(AND(Assumptions!$B$67=1,CK4&gt;=Assumptions!$B$68,CK4&lt;=Assumptions!$B$68+Assumptions!$B$60),CK12*Assumptions!$B$89,0)</f>
        <v>7228.2859362820091</v>
      </c>
      <c r="CL13" s="64">
        <f>IF(AND(Assumptions!$B$67=1,CL4&gt;=Assumptions!$B$68,CL4&lt;=Assumptions!$B$68+Assumptions!$B$60),CL12*Assumptions!$B$89,0)</f>
        <v>7218.5002860444456</v>
      </c>
      <c r="CM13" s="64">
        <f>IF(AND(Assumptions!$B$67=1,CM4&gt;=Assumptions!$B$68,CM4&lt;=Assumptions!$B$68+Assumptions!$B$60),CM12*Assumptions!$B$89,0)</f>
        <v>7208.665707555695</v>
      </c>
      <c r="CN13" s="64">
        <f>IF(AND(Assumptions!$B$67=1,CN4&gt;=Assumptions!$B$68,CN4&lt;=Assumptions!$B$68+Assumptions!$B$60),CN12*Assumptions!$B$89,0)</f>
        <v>7198.7819561745009</v>
      </c>
      <c r="CO13" s="64">
        <f>IF(AND(Assumptions!$B$67=1,CO4&gt;=Assumptions!$B$68,CO4&lt;=Assumptions!$B$68+Assumptions!$B$60),CO12*Assumptions!$B$89,0)</f>
        <v>7188.8487860364003</v>
      </c>
      <c r="CP13" s="64">
        <f>IF(AND(Assumptions!$B$67=1,CP4&gt;=Assumptions!$B$68,CP4&lt;=Assumptions!$B$68+Assumptions!$B$60),CP12*Assumptions!$B$89,0)</f>
        <v>7178.8659500476087</v>
      </c>
      <c r="CQ13" s="64">
        <f>IF(AND(Assumptions!$B$67=1,CQ4&gt;=Assumptions!$B$68,CQ4&lt;=Assumptions!$B$68+Assumptions!$B$60),CQ12*Assumptions!$B$89,0)</f>
        <v>7168.8331998788744</v>
      </c>
      <c r="CR13" s="64">
        <f>IF(AND(Assumptions!$B$67=1,CR4&gt;=Assumptions!$B$68,CR4&lt;=Assumptions!$B$68+Assumptions!$B$60),CR12*Assumptions!$B$89,0)</f>
        <v>7158.7502859592951</v>
      </c>
      <c r="CS13" s="64">
        <f>IF(AND(Assumptions!$B$67=1,CS4&gt;=Assumptions!$B$68,CS4&lt;=Assumptions!$B$68+Assumptions!$B$60),CS12*Assumptions!$B$89,0)</f>
        <v>7148.616957470118</v>
      </c>
      <c r="CT13" s="64">
        <f>IF(AND(Assumptions!$B$67=1,CT4&gt;=Assumptions!$B$68,CT4&lt;=Assumptions!$B$68+Assumptions!$B$60),CT12*Assumptions!$B$89,0)</f>
        <v>7138.4329623384947</v>
      </c>
      <c r="CU13" s="64">
        <f>IF(AND(Assumptions!$B$67=1,CU4&gt;=Assumptions!$B$68,CU4&lt;=Assumptions!$B$68+Assumptions!$B$60),CU12*Assumptions!$B$89,0)</f>
        <v>7128.1980472312134</v>
      </c>
      <c r="CV13" s="64">
        <f>IF(AND(Assumptions!$B$67=1,CV4&gt;=Assumptions!$B$68,CV4&lt;=Assumptions!$B$68+Assumptions!$B$60),CV12*Assumptions!$B$89,0)</f>
        <v>7117.9119575483955</v>
      </c>
      <c r="CW13" s="64">
        <f>IF(AND(Assumptions!$B$67=1,CW4&gt;=Assumptions!$B$68,CW4&lt;=Assumptions!$B$68+Assumptions!$B$60),CW12*Assumptions!$B$89,0)</f>
        <v>7107.5744374171645</v>
      </c>
      <c r="CX13" s="64">
        <f>IF(AND(Assumptions!$B$67=1,CX4&gt;=Assumptions!$B$68,CX4&lt;=Assumptions!$B$68+Assumptions!$B$60),CX12*Assumptions!$B$89,0)</f>
        <v>7097.1852296852776</v>
      </c>
      <c r="CY13" s="64">
        <f>IF(AND(Assumptions!$B$67=1,CY4&gt;=Assumptions!$B$68,CY4&lt;=Assumptions!$B$68+Assumptions!$B$60),CY12*Assumptions!$B$89,0)</f>
        <v>7086.7440759147312</v>
      </c>
      <c r="CZ13" s="64">
        <f>IF(AND(Assumptions!$B$67=1,CZ4&gt;=Assumptions!$B$68,CZ4&lt;=Assumptions!$B$68+Assumptions!$B$60),CZ12*Assumptions!$B$89,0)</f>
        <v>7076.2507163753316</v>
      </c>
      <c r="DA13" s="64">
        <f>IF(AND(Assumptions!$B$67=1,DA4&gt;=Assumptions!$B$68,DA4&lt;=Assumptions!$B$68+Assumptions!$B$60),DA12*Assumptions!$B$89,0)</f>
        <v>7065.7048900382351</v>
      </c>
      <c r="DB13" s="64">
        <f>IF(AND(Assumptions!$B$67=1,DB4&gt;=Assumptions!$B$68,DB4&lt;=Assumptions!$B$68+Assumptions!$B$60),DB12*Assumptions!$B$89,0)</f>
        <v>7055.1063345694529</v>
      </c>
      <c r="DC13" s="64">
        <f>IF(AND(Assumptions!$B$67=1,DC4&gt;=Assumptions!$B$68,DC4&lt;=Assumptions!$B$68+Assumptions!$B$60),DC12*Assumptions!$B$89,0)</f>
        <v>7044.4547863233265</v>
      </c>
      <c r="DD13" s="64">
        <f>IF(AND(Assumptions!$B$67=1,DD4&gt;=Assumptions!$B$68,DD4&lt;=Assumptions!$B$68+Assumptions!$B$60),DD12*Assumptions!$B$89,0)</f>
        <v>7033.7499803359706</v>
      </c>
      <c r="DE13" s="64">
        <f>IF(AND(Assumptions!$B$67=1,DE4&gt;=Assumptions!$B$68,DE4&lt;=Assumptions!$B$68+Assumptions!$B$60),DE12*Assumptions!$B$89,0)</f>
        <v>7022.9916503186769</v>
      </c>
      <c r="DF13" s="64">
        <f>IF(AND(Assumptions!$B$67=1,DF4&gt;=Assumptions!$B$68,DF4&lt;=Assumptions!$B$68+Assumptions!$B$60),DF12*Assumptions!$B$89,0)</f>
        <v>7012.179528651297</v>
      </c>
      <c r="DG13" s="64">
        <f>IF(AND(Assumptions!$B$67=1,DG4&gt;=Assumptions!$B$68,DG4&lt;=Assumptions!$B$68+Assumptions!$B$60),DG12*Assumptions!$B$89,0)</f>
        <v>7001.3133463755803</v>
      </c>
      <c r="DH13" s="64">
        <f>IF(AND(Assumptions!$B$67=1,DH4&gt;=Assumptions!$B$68,DH4&lt;=Assumptions!$B$68+Assumptions!$B$60),DH12*Assumptions!$B$89,0)</f>
        <v>6990.3928331884845</v>
      </c>
      <c r="DI13" s="64">
        <f>IF(AND(Assumptions!$B$67=1,DI4&gt;=Assumptions!$B$68,DI4&lt;=Assumptions!$B$68+Assumptions!$B$60),DI12*Assumptions!$B$89,0)</f>
        <v>6979.4177174354545</v>
      </c>
      <c r="DJ13" s="64">
        <f>IF(AND(Assumptions!$B$67=1,DJ4&gt;=Assumptions!$B$68,DJ4&lt;=Assumptions!$B$68+Assumptions!$B$60),DJ12*Assumptions!$B$89,0)</f>
        <v>6968.3877261036578</v>
      </c>
      <c r="DK13" s="64">
        <f>IF(AND(Assumptions!$B$67=1,DK4&gt;=Assumptions!$B$68,DK4&lt;=Assumptions!$B$68+Assumptions!$B$60),DK12*Assumptions!$B$89,0)</f>
        <v>6957.3025848152029</v>
      </c>
      <c r="DL13" s="64">
        <f>IF(AND(Assumptions!$B$67=1,DL4&gt;=Assumptions!$B$68,DL4&lt;=Assumptions!$B$68+Assumptions!$B$60),DL12*Assumptions!$B$89,0)</f>
        <v>6946.1620178203057</v>
      </c>
      <c r="DM13" s="64">
        <f>IF(AND(Assumptions!$B$67=1,DM4&gt;=Assumptions!$B$68,DM4&lt;=Assumptions!$B$68+Assumptions!$B$60),DM12*Assumptions!$B$89,0)</f>
        <v>6934.9657479904336</v>
      </c>
      <c r="DN13" s="64">
        <f>IF(AND(Assumptions!$B$67=1,DN4&gt;=Assumptions!$B$68,DN4&lt;=Assumptions!$B$68+Assumptions!$B$60),DN12*Assumptions!$B$89,0)</f>
        <v>6923.7134968114124</v>
      </c>
      <c r="DO13" s="64">
        <f>IF(AND(Assumptions!$B$67=1,DO4&gt;=Assumptions!$B$68,DO4&lt;=Assumptions!$B$68+Assumptions!$B$60),DO12*Assumptions!$B$89,0)</f>
        <v>6912.404984376496</v>
      </c>
      <c r="DP13" s="64">
        <f>IF(AND(Assumptions!$B$67=1,DP4&gt;=Assumptions!$B$68,DP4&lt;=Assumptions!$B$68+Assumptions!$B$60),DP12*Assumptions!$B$89,0)</f>
        <v>6901.0399293794053</v>
      </c>
      <c r="DQ13" s="64">
        <f>IF(AND(Assumptions!$B$67=1,DQ4&gt;=Assumptions!$B$68,DQ4&lt;=Assumptions!$B$68+Assumptions!$B$60),DQ12*Assumptions!$B$89,0)</f>
        <v>6889.6180491073292</v>
      </c>
      <c r="DR13" s="64">
        <f>IF(AND(Assumptions!$B$67=1,DR4&gt;=Assumptions!$B$68,DR4&lt;=Assumptions!$B$68+Assumptions!$B$60),DR12*Assumptions!$B$89,0)</f>
        <v>6878.1390594338927</v>
      </c>
      <c r="DS13" s="64">
        <f>IF(AND(Assumptions!$B$67=1,DS4&gt;=Assumptions!$B$68,DS4&lt;=Assumptions!$B$68+Assumptions!$B$60),DS12*Assumptions!$B$89,0)</f>
        <v>6866.6026748120894</v>
      </c>
    </row>
    <row r="14" spans="1:123" x14ac:dyDescent="0.25">
      <c r="A14" s="51" t="s">
        <v>333</v>
      </c>
      <c r="D14" s="64">
        <f>IF(AND(Assumptions!$B$67=1,D4&gt;=Assumptions!$B$68,D4&lt;=Assumptions!$B$68+Assumptions!$B$60),IF(D4&lt;Assumptions!$B$68+Assumptions!$B$72,0,(-PMT(Assumptions!$B$89,Assumptions!$B$71,Refinance!$B$11))-D13),0)</f>
        <v>0</v>
      </c>
      <c r="E14" s="64">
        <f>IF(AND(Assumptions!$B$67=1,E4&gt;=Assumptions!$B$68,E4&lt;=Assumptions!$B$68+Assumptions!$B$60),IF(E4&lt;Assumptions!$B$68+Assumptions!$B$72,0,(-PMT(Assumptions!$B$89,Assumptions!$B$71,Refinance!$B$11))-E13),0)</f>
        <v>0</v>
      </c>
      <c r="F14" s="64">
        <f>IF(AND(Assumptions!$B$67=1,F4&gt;=Assumptions!$B$68,F4&lt;=Assumptions!$B$68+Assumptions!$B$60),IF(F4&lt;Assumptions!$B$68+Assumptions!$B$72,0,(-PMT(Assumptions!$B$89,Assumptions!$B$71,Refinance!$B$11))-F13),0)</f>
        <v>0</v>
      </c>
      <c r="G14" s="64">
        <f>IF(AND(Assumptions!$B$67=1,G4&gt;=Assumptions!$B$68,G4&lt;=Assumptions!$B$68+Assumptions!$B$60),IF(G4&lt;Assumptions!$B$68+Assumptions!$B$72,0,(-PMT(Assumptions!$B$89,Assumptions!$B$71,Refinance!$B$11))-G13),0)</f>
        <v>0</v>
      </c>
      <c r="H14" s="64">
        <f>IF(AND(Assumptions!$B$67=1,H4&gt;=Assumptions!$B$68,H4&lt;=Assumptions!$B$68+Assumptions!$B$60),IF(H4&lt;Assumptions!$B$68+Assumptions!$B$72,0,(-PMT(Assumptions!$B$89,Assumptions!$B$71,Refinance!$B$11))-H13),0)</f>
        <v>0</v>
      </c>
      <c r="I14" s="64">
        <f>IF(AND(Assumptions!$B$67=1,I4&gt;=Assumptions!$B$68,I4&lt;=Assumptions!$B$68+Assumptions!$B$60),IF(I4&lt;Assumptions!$B$68+Assumptions!$B$72,0,(-PMT(Assumptions!$B$89,Assumptions!$B$71,Refinance!$B$11))-I13),0)</f>
        <v>0</v>
      </c>
      <c r="J14" s="64">
        <f>IF(AND(Assumptions!$B$67=1,J4&gt;=Assumptions!$B$68,J4&lt;=Assumptions!$B$68+Assumptions!$B$60),IF(J4&lt;Assumptions!$B$68+Assumptions!$B$72,0,(-PMT(Assumptions!$B$89,Assumptions!$B$71,Refinance!$B$11))-J13),0)</f>
        <v>0</v>
      </c>
      <c r="K14" s="64">
        <f>IF(AND(Assumptions!$B$67=1,K4&gt;=Assumptions!$B$68,K4&lt;=Assumptions!$B$68+Assumptions!$B$60),IF(K4&lt;Assumptions!$B$68+Assumptions!$B$72,0,(-PMT(Assumptions!$B$89,Assumptions!$B$71,Refinance!$B$11))-K13),0)</f>
        <v>0</v>
      </c>
      <c r="L14" s="64">
        <f>IF(AND(Assumptions!$B$67=1,L4&gt;=Assumptions!$B$68,L4&lt;=Assumptions!$B$68+Assumptions!$B$60),IF(L4&lt;Assumptions!$B$68+Assumptions!$B$72,0,(-PMT(Assumptions!$B$89,Assumptions!$B$71,Refinance!$B$11))-L13),0)</f>
        <v>0</v>
      </c>
      <c r="M14" s="64">
        <f>IF(AND(Assumptions!$B$67=1,M4&gt;=Assumptions!$B$68,M4&lt;=Assumptions!$B$68+Assumptions!$B$60),IF(M4&lt;Assumptions!$B$68+Assumptions!$B$72,0,(-PMT(Assumptions!$B$89,Assumptions!$B$71,Refinance!$B$11))-M13),0)</f>
        <v>0</v>
      </c>
      <c r="N14" s="64">
        <f>IF(AND(Assumptions!$B$67=1,N4&gt;=Assumptions!$B$68,N4&lt;=Assumptions!$B$68+Assumptions!$B$60),IF(N4&lt;Assumptions!$B$68+Assumptions!$B$72,0,(-PMT(Assumptions!$B$89,Assumptions!$B$71,Refinance!$B$11))-N13),0)</f>
        <v>0</v>
      </c>
      <c r="O14" s="64">
        <f>IF(AND(Assumptions!$B$67=1,O4&gt;=Assumptions!$B$68,O4&lt;=Assumptions!$B$68+Assumptions!$B$60),IF(O4&lt;Assumptions!$B$68+Assumptions!$B$72,0,(-PMT(Assumptions!$B$89,Assumptions!$B$71,Refinance!$B$11))-O13),0)</f>
        <v>0</v>
      </c>
      <c r="P14" s="64">
        <f>IF(AND(Assumptions!$B$67=1,P4&gt;=Assumptions!$B$68,P4&lt;=Assumptions!$B$68+Assumptions!$B$60),IF(P4&lt;Assumptions!$B$68+Assumptions!$B$72,0,(-PMT(Assumptions!$B$89,Assumptions!$B$71,Refinance!$B$11))-P13),0)</f>
        <v>0</v>
      </c>
      <c r="Q14" s="64">
        <f>IF(AND(Assumptions!$B$67=1,Q4&gt;=Assumptions!$B$68,Q4&lt;=Assumptions!$B$68+Assumptions!$B$60),IF(Q4&lt;Assumptions!$B$68+Assumptions!$B$72,0,(-PMT(Assumptions!$B$89,Assumptions!$B$71,Refinance!$B$11))-Q13),0)</f>
        <v>0</v>
      </c>
      <c r="R14" s="64">
        <f>IF(AND(Assumptions!$B$67=1,R4&gt;=Assumptions!$B$68,R4&lt;=Assumptions!$B$68+Assumptions!$B$60),IF(R4&lt;Assumptions!$B$68+Assumptions!$B$72,0,(-PMT(Assumptions!$B$89,Assumptions!$B$71,Refinance!$B$11))-R13),0)</f>
        <v>0</v>
      </c>
      <c r="S14" s="64">
        <f>IF(AND(Assumptions!$B$67=1,S4&gt;=Assumptions!$B$68,S4&lt;=Assumptions!$B$68+Assumptions!$B$60),IF(S4&lt;Assumptions!$B$68+Assumptions!$B$72,0,(-PMT(Assumptions!$B$89,Assumptions!$B$71,Refinance!$B$11))-S13),0)</f>
        <v>0</v>
      </c>
      <c r="T14" s="64">
        <f>IF(AND(Assumptions!$B$67=1,T4&gt;=Assumptions!$B$68,T4&lt;=Assumptions!$B$68+Assumptions!$B$60),IF(T4&lt;Assumptions!$B$68+Assumptions!$B$72,0,(-PMT(Assumptions!$B$89,Assumptions!$B$71,Refinance!$B$11))-T13),0)</f>
        <v>0</v>
      </c>
      <c r="U14" s="64">
        <f>IF(AND(Assumptions!$B$67=1,U4&gt;=Assumptions!$B$68,U4&lt;=Assumptions!$B$68+Assumptions!$B$60),IF(U4&lt;Assumptions!$B$68+Assumptions!$B$72,0,(-PMT(Assumptions!$B$89,Assumptions!$B$71,Refinance!$B$11))-U13),0)</f>
        <v>0</v>
      </c>
      <c r="V14" s="64">
        <f>IF(AND(Assumptions!$B$67=1,V4&gt;=Assumptions!$B$68,V4&lt;=Assumptions!$B$68+Assumptions!$B$60),IF(V4&lt;Assumptions!$B$68+Assumptions!$B$72,0,(-PMT(Assumptions!$B$89,Assumptions!$B$71,Refinance!$B$11))-V13),0)</f>
        <v>0</v>
      </c>
      <c r="W14" s="64">
        <f>IF(AND(Assumptions!$B$67=1,W4&gt;=Assumptions!$B$68,W4&lt;=Assumptions!$B$68+Assumptions!$B$60),IF(W4&lt;Assumptions!$B$68+Assumptions!$B$72,0,(-PMT(Assumptions!$B$89,Assumptions!$B$71,Refinance!$B$11))-W13),0)</f>
        <v>0</v>
      </c>
      <c r="X14" s="64">
        <f>IF(AND(Assumptions!$B$67=1,X4&gt;=Assumptions!$B$68,X4&lt;=Assumptions!$B$68+Assumptions!$B$60),IF(X4&lt;Assumptions!$B$68+Assumptions!$B$72,0,(-PMT(Assumptions!$B$89,Assumptions!$B$71,Refinance!$B$11))-X13),0)</f>
        <v>0</v>
      </c>
      <c r="Y14" s="64">
        <f>IF(AND(Assumptions!$B$67=1,Y4&gt;=Assumptions!$B$68,Y4&lt;=Assumptions!$B$68+Assumptions!$B$60),IF(Y4&lt;Assumptions!$B$68+Assumptions!$B$72,0,(-PMT(Assumptions!$B$89,Assumptions!$B$71,Refinance!$B$11))-Y13),0)</f>
        <v>0</v>
      </c>
      <c r="Z14" s="64">
        <f>IF(AND(Assumptions!$B$67=1,Z4&gt;=Assumptions!$B$68,Z4&lt;=Assumptions!$B$68+Assumptions!$B$60),IF(Z4&lt;Assumptions!$B$68+Assumptions!$B$72,0,(-PMT(Assumptions!$B$89,Assumptions!$B$71,Refinance!$B$11))-Z13),0)</f>
        <v>0</v>
      </c>
      <c r="AA14" s="64">
        <f>IF(AND(Assumptions!$B$67=1,AA4&gt;=Assumptions!$B$68,AA4&lt;=Assumptions!$B$68+Assumptions!$B$60),IF(AA4&lt;Assumptions!$B$68+Assumptions!$B$72,0,(-PMT(Assumptions!$B$89,Assumptions!$B$71,Refinance!$B$11))-AA13),0)</f>
        <v>0</v>
      </c>
      <c r="AB14" s="64">
        <f>IF(AND(Assumptions!$B$67=1,AB4&gt;=Assumptions!$B$68,AB4&lt;=Assumptions!$B$68+Assumptions!$B$60),IF(AB4&lt;Assumptions!$B$68+Assumptions!$B$72,0,(-PMT(Assumptions!$B$89,Assumptions!$B$71,Refinance!$B$11))-AB13),0)</f>
        <v>0</v>
      </c>
      <c r="AC14" s="64">
        <f>IF(AND(Assumptions!$B$67=1,AC4&gt;=Assumptions!$B$68,AC4&lt;=Assumptions!$B$68+Assumptions!$B$60),IF(AC4&lt;Assumptions!$B$68+Assumptions!$B$72,0,(-PMT(Assumptions!$B$89,Assumptions!$B$71,Refinance!$B$11))-AC13),0)</f>
        <v>0</v>
      </c>
      <c r="AD14" s="64">
        <f>IF(AND(Assumptions!$B$67=1,AD4&gt;=Assumptions!$B$68,AD4&lt;=Assumptions!$B$68+Assumptions!$B$60),IF(AD4&lt;Assumptions!$B$68+Assumptions!$B$72,0,(-PMT(Assumptions!$B$89,Assumptions!$B$71,Refinance!$B$11))-AD13),0)</f>
        <v>0</v>
      </c>
      <c r="AE14" s="64">
        <f>IF(AND(Assumptions!$B$67=1,AE4&gt;=Assumptions!$B$68,AE4&lt;=Assumptions!$B$68+Assumptions!$B$60),IF(AE4&lt;Assumptions!$B$68+Assumptions!$B$72,0,(-PMT(Assumptions!$B$89,Assumptions!$B$71,Refinance!$B$11))-AE13),0)</f>
        <v>0</v>
      </c>
      <c r="AF14" s="64">
        <f>IF(AND(Assumptions!$B$67=1,AF4&gt;=Assumptions!$B$68,AF4&lt;=Assumptions!$B$68+Assumptions!$B$60),IF(AF4&lt;Assumptions!$B$68+Assumptions!$B$72,0,(-PMT(Assumptions!$B$89,Assumptions!$B$71,Refinance!$B$11))-AF13),0)</f>
        <v>0</v>
      </c>
      <c r="AG14" s="64">
        <f>IF(AND(Assumptions!$B$67=1,AG4&gt;=Assumptions!$B$68,AG4&lt;=Assumptions!$B$68+Assumptions!$B$60),IF(AG4&lt;Assumptions!$B$68+Assumptions!$B$72,0,(-PMT(Assumptions!$B$89,Assumptions!$B$71,Refinance!$B$11))-AG13),0)</f>
        <v>0</v>
      </c>
      <c r="AH14" s="64">
        <f>IF(AND(Assumptions!$B$67=1,AH4&gt;=Assumptions!$B$68,AH4&lt;=Assumptions!$B$68+Assumptions!$B$60),IF(AH4&lt;Assumptions!$B$68+Assumptions!$B$72,0,(-PMT(Assumptions!$B$89,Assumptions!$B$71,Refinance!$B$11))-AH13),0)</f>
        <v>0</v>
      </c>
      <c r="AI14" s="64">
        <f>IF(AND(Assumptions!$B$67=1,AI4&gt;=Assumptions!$B$68,AI4&lt;=Assumptions!$B$68+Assumptions!$B$60),IF(AI4&lt;Assumptions!$B$68+Assumptions!$B$72,0,(-PMT(Assumptions!$B$89,Assumptions!$B$71,Refinance!$B$11))-AI13),0)</f>
        <v>0</v>
      </c>
      <c r="AJ14" s="64">
        <f>IF(AND(Assumptions!$B$67=1,AJ4&gt;=Assumptions!$B$68,AJ4&lt;=Assumptions!$B$68+Assumptions!$B$60),IF(AJ4&lt;Assumptions!$B$68+Assumptions!$B$72,0,(-PMT(Assumptions!$B$89,Assumptions!$B$71,Refinance!$B$11))-AJ13),0)</f>
        <v>0</v>
      </c>
      <c r="AK14" s="64">
        <f>IF(AND(Assumptions!$B$67=1,AK4&gt;=Assumptions!$B$68,AK4&lt;=Assumptions!$B$68+Assumptions!$B$60),IF(AK4&lt;Assumptions!$B$68+Assumptions!$B$72,0,(-PMT(Assumptions!$B$89,Assumptions!$B$71,Refinance!$B$11))-AK13),0)</f>
        <v>0</v>
      </c>
      <c r="AL14" s="64">
        <f>IF(AND(Assumptions!$B$67=1,AL4&gt;=Assumptions!$B$68,AL4&lt;=Assumptions!$B$68+Assumptions!$B$60),IF(AL4&lt;Assumptions!$B$68+Assumptions!$B$72,0,(-PMT(Assumptions!$B$89,Assumptions!$B$71,Refinance!$B$11))-AL13),0)</f>
        <v>0</v>
      </c>
      <c r="AM14" s="64">
        <f>IF(AND(Assumptions!$B$67=1,AM4&gt;=Assumptions!$B$68,AM4&lt;=Assumptions!$B$68+Assumptions!$B$60),IF(AM4&lt;Assumptions!$B$68+Assumptions!$B$72,0,(-PMT(Assumptions!$B$89,Assumptions!$B$71,Refinance!$B$11))-AM13),0)</f>
        <v>1525.1641797832999</v>
      </c>
      <c r="AN14" s="64">
        <f>IF(AND(Assumptions!$B$67=1,AN4&gt;=Assumptions!$B$68,AN4&lt;=Assumptions!$B$68+Assumptions!$B$60),IF(AN4&lt;Assumptions!$B$68+Assumptions!$B$72,0,(-PMT(Assumptions!$B$89,Assumptions!$B$71,Refinance!$B$11))-AN13),0)</f>
        <v>1532.7900006822165</v>
      </c>
      <c r="AO14" s="64">
        <f>IF(AND(Assumptions!$B$67=1,AO4&gt;=Assumptions!$B$68,AO4&lt;=Assumptions!$B$68+Assumptions!$B$60),IF(AO4&lt;Assumptions!$B$68+Assumptions!$B$72,0,(-PMT(Assumptions!$B$89,Assumptions!$B$71,Refinance!$B$11))-AO13),0)</f>
        <v>1540.4539506856281</v>
      </c>
      <c r="AP14" s="64">
        <f>IF(AND(Assumptions!$B$67=1,AP4&gt;=Assumptions!$B$68,AP4&lt;=Assumptions!$B$68+Assumptions!$B$60),IF(AP4&lt;Assumptions!$B$68+Assumptions!$B$72,0,(-PMT(Assumptions!$B$89,Assumptions!$B$71,Refinance!$B$11))-AP13),0)</f>
        <v>1548.1562204390557</v>
      </c>
      <c r="AQ14" s="64">
        <f>IF(AND(Assumptions!$B$67=1,AQ4&gt;=Assumptions!$B$68,AQ4&lt;=Assumptions!$B$68+Assumptions!$B$60),IF(AQ4&lt;Assumptions!$B$68+Assumptions!$B$72,0,(-PMT(Assumptions!$B$89,Assumptions!$B$71,Refinance!$B$11))-AQ13),0)</f>
        <v>1555.8970015412515</v>
      </c>
      <c r="AR14" s="64">
        <f>IF(AND(Assumptions!$B$67=1,AR4&gt;=Assumptions!$B$68,AR4&lt;=Assumptions!$B$68+Assumptions!$B$60),IF(AR4&lt;Assumptions!$B$68+Assumptions!$B$72,0,(-PMT(Assumptions!$B$89,Assumptions!$B$71,Refinance!$B$11))-AR13),0)</f>
        <v>1563.6764865489577</v>
      </c>
      <c r="AS14" s="64">
        <f>IF(AND(Assumptions!$B$67=1,AS4&gt;=Assumptions!$B$68,AS4&lt;=Assumptions!$B$68+Assumptions!$B$60),IF(AS4&lt;Assumptions!$B$68+Assumptions!$B$72,0,(-PMT(Assumptions!$B$89,Assumptions!$B$71,Refinance!$B$11))-AS13),0)</f>
        <v>1571.4948689817029</v>
      </c>
      <c r="AT14" s="64">
        <f>IF(AND(Assumptions!$B$67=1,AT4&gt;=Assumptions!$B$68,AT4&lt;=Assumptions!$B$68+Assumptions!$B$60),IF(AT4&lt;Assumptions!$B$68+Assumptions!$B$72,0,(-PMT(Assumptions!$B$89,Assumptions!$B$71,Refinance!$B$11))-AT13),0)</f>
        <v>1579.3523433266109</v>
      </c>
      <c r="AU14" s="64">
        <f>IF(AND(Assumptions!$B$67=1,AU4&gt;=Assumptions!$B$68,AU4&lt;=Assumptions!$B$68+Assumptions!$B$60),IF(AU4&lt;Assumptions!$B$68+Assumptions!$B$72,0,(-PMT(Assumptions!$B$89,Assumptions!$B$71,Refinance!$B$11))-AU13),0)</f>
        <v>1587.2491050432445</v>
      </c>
      <c r="AV14" s="64">
        <f>IF(AND(Assumptions!$B$67=1,AV4&gt;=Assumptions!$B$68,AV4&lt;=Assumptions!$B$68+Assumptions!$B$60),IF(AV4&lt;Assumptions!$B$68+Assumptions!$B$72,0,(-PMT(Assumptions!$B$89,Assumptions!$B$71,Refinance!$B$11))-AV13),0)</f>
        <v>1595.1853505684603</v>
      </c>
      <c r="AW14" s="64">
        <f>IF(AND(Assumptions!$B$67=1,AW4&gt;=Assumptions!$B$68,AW4&lt;=Assumptions!$B$68+Assumptions!$B$60),IF(AW4&lt;Assumptions!$B$68+Assumptions!$B$72,0,(-PMT(Assumptions!$B$89,Assumptions!$B$71,Refinance!$B$11))-AW13),0)</f>
        <v>1603.1612773213028</v>
      </c>
      <c r="AX14" s="64">
        <f>IF(AND(Assumptions!$B$67=1,AX4&gt;=Assumptions!$B$68,AX4&lt;=Assumptions!$B$68+Assumptions!$B$60),IF(AX4&lt;Assumptions!$B$68+Assumptions!$B$72,0,(-PMT(Assumptions!$B$89,Assumptions!$B$71,Refinance!$B$11))-AX13),0)</f>
        <v>1611.1770837079102</v>
      </c>
      <c r="AY14" s="64">
        <f>IF(AND(Assumptions!$B$67=1,AY4&gt;=Assumptions!$B$68,AY4&lt;=Assumptions!$B$68+Assumptions!$B$60),IF(AY4&lt;Assumptions!$B$68+Assumptions!$B$72,0,(-PMT(Assumptions!$B$89,Assumptions!$B$71,Refinance!$B$11))-AY13),0)</f>
        <v>1619.2329691264495</v>
      </c>
      <c r="AZ14" s="64">
        <f>IF(AND(Assumptions!$B$67=1,AZ4&gt;=Assumptions!$B$68,AZ4&lt;=Assumptions!$B$68+Assumptions!$B$60),IF(AZ4&lt;Assumptions!$B$68+Assumptions!$B$72,0,(-PMT(Assumptions!$B$89,Assumptions!$B$71,Refinance!$B$11))-AZ13),0)</f>
        <v>1627.3291339720818</v>
      </c>
      <c r="BA14" s="64">
        <f>IF(AND(Assumptions!$B$67=1,BA4&gt;=Assumptions!$B$68,BA4&lt;=Assumptions!$B$68+Assumptions!$B$60),IF(BA4&lt;Assumptions!$B$68+Assumptions!$B$72,0,(-PMT(Assumptions!$B$89,Assumptions!$B$71,Refinance!$B$11))-BA13),0)</f>
        <v>1635.4657796419415</v>
      </c>
      <c r="BB14" s="64">
        <f>IF(AND(Assumptions!$B$67=1,BB4&gt;=Assumptions!$B$68,BB4&lt;=Assumptions!$B$68+Assumptions!$B$60),IF(BB4&lt;Assumptions!$B$68+Assumptions!$B$72,0,(-PMT(Assumptions!$B$89,Assumptions!$B$71,Refinance!$B$11))-BB13),0)</f>
        <v>1643.6431085401509</v>
      </c>
      <c r="BC14" s="64">
        <f>IF(AND(Assumptions!$B$67=1,BC4&gt;=Assumptions!$B$68,BC4&lt;=Assumptions!$B$68+Assumptions!$B$60),IF(BC4&lt;Assumptions!$B$68+Assumptions!$B$72,0,(-PMT(Assumptions!$B$89,Assumptions!$B$71,Refinance!$B$11))-BC13),0)</f>
        <v>1651.8613240828527</v>
      </c>
      <c r="BD14" s="64">
        <f>IF(AND(Assumptions!$B$67=1,BD4&gt;=Assumptions!$B$68,BD4&lt;=Assumptions!$B$68+Assumptions!$B$60),IF(BD4&lt;Assumptions!$B$68+Assumptions!$B$72,0,(-PMT(Assumptions!$B$89,Assumptions!$B$71,Refinance!$B$11))-BD13),0)</f>
        <v>1660.1206307032662</v>
      </c>
      <c r="BE14" s="64">
        <f>IF(AND(Assumptions!$B$67=1,BE4&gt;=Assumptions!$B$68,BE4&lt;=Assumptions!$B$68+Assumptions!$B$60),IF(BE4&lt;Assumptions!$B$68+Assumptions!$B$72,0,(-PMT(Assumptions!$B$89,Assumptions!$B$71,Refinance!$B$11))-BE13),0)</f>
        <v>1668.4212338567822</v>
      </c>
      <c r="BF14" s="64">
        <f>IF(AND(Assumptions!$B$67=1,BF4&gt;=Assumptions!$B$68,BF4&lt;=Assumptions!$B$68+Assumptions!$B$60),IF(BF4&lt;Assumptions!$B$68+Assumptions!$B$72,0,(-PMT(Assumptions!$B$89,Assumptions!$B$71,Refinance!$B$11))-BF13),0)</f>
        <v>1676.7633400260665</v>
      </c>
      <c r="BG14" s="64">
        <f>IF(AND(Assumptions!$B$67=1,BG4&gt;=Assumptions!$B$68,BG4&lt;=Assumptions!$B$68+Assumptions!$B$60),IF(BG4&lt;Assumptions!$B$68+Assumptions!$B$72,0,(-PMT(Assumptions!$B$89,Assumptions!$B$71,Refinance!$B$11))-BG13),0)</f>
        <v>1685.147156726197</v>
      </c>
      <c r="BH14" s="64">
        <f>IF(AND(Assumptions!$B$67=1,BH4&gt;=Assumptions!$B$68,BH4&lt;=Assumptions!$B$68+Assumptions!$B$60),IF(BH4&lt;Assumptions!$B$68+Assumptions!$B$72,0,(-PMT(Assumptions!$B$89,Assumptions!$B$71,Refinance!$B$11))-BH13),0)</f>
        <v>1693.5728925098274</v>
      </c>
      <c r="BI14" s="64">
        <f>IF(AND(Assumptions!$B$67=1,BI4&gt;=Assumptions!$B$68,BI4&lt;=Assumptions!$B$68+Assumptions!$B$60),IF(BI4&lt;Assumptions!$B$68+Assumptions!$B$72,0,(-PMT(Assumptions!$B$89,Assumptions!$B$71,Refinance!$B$11))-BI13),0)</f>
        <v>1702.0407569723766</v>
      </c>
      <c r="BJ14" s="64">
        <f>IF(AND(Assumptions!$B$67=1,BJ4&gt;=Assumptions!$B$68,BJ4&lt;=Assumptions!$B$68+Assumptions!$B$60),IF(BJ4&lt;Assumptions!$B$68+Assumptions!$B$72,0,(-PMT(Assumptions!$B$89,Assumptions!$B$71,Refinance!$B$11))-BJ13),0)</f>
        <v>1710.5509607572385</v>
      </c>
      <c r="BK14" s="64">
        <f>IF(AND(Assumptions!$B$67=1,BK4&gt;=Assumptions!$B$68,BK4&lt;=Assumptions!$B$68+Assumptions!$B$60),IF(BK4&lt;Assumptions!$B$68+Assumptions!$B$72,0,(-PMT(Assumptions!$B$89,Assumptions!$B$71,Refinance!$B$11))-BK13),0)</f>
        <v>1719.1037155610247</v>
      </c>
      <c r="BL14" s="64">
        <f>IF(AND(Assumptions!$B$67=1,BL4&gt;=Assumptions!$B$68,BL4&lt;=Assumptions!$B$68+Assumptions!$B$60),IF(BL4&lt;Assumptions!$B$68+Assumptions!$B$72,0,(-PMT(Assumptions!$B$89,Assumptions!$B$71,Refinance!$B$11))-BL13),0)</f>
        <v>1727.6992341388304</v>
      </c>
      <c r="BM14" s="64">
        <f>IF(AND(Assumptions!$B$67=1,BM4&gt;=Assumptions!$B$68,BM4&lt;=Assumptions!$B$68+Assumptions!$B$60),IF(BM4&lt;Assumptions!$B$68+Assumptions!$B$72,0,(-PMT(Assumptions!$B$89,Assumptions!$B$71,Refinance!$B$11))-BM13),0)</f>
        <v>1736.3377303095249</v>
      </c>
      <c r="BN14" s="64">
        <f>IF(AND(Assumptions!$B$67=1,BN4&gt;=Assumptions!$B$68,BN4&lt;=Assumptions!$B$68+Assumptions!$B$60),IF(BN4&lt;Assumptions!$B$68+Assumptions!$B$72,0,(-PMT(Assumptions!$B$89,Assumptions!$B$71,Refinance!$B$11))-BN13),0)</f>
        <v>1745.019418961072</v>
      </c>
      <c r="BO14" s="64">
        <f>IF(AND(Assumptions!$B$67=1,BO4&gt;=Assumptions!$B$68,BO4&lt;=Assumptions!$B$68+Assumptions!$B$60),IF(BO4&lt;Assumptions!$B$68+Assumptions!$B$72,0,(-PMT(Assumptions!$B$89,Assumptions!$B$71,Refinance!$B$11))-BO13),0)</f>
        <v>1753.7445160558782</v>
      </c>
      <c r="BP14" s="64">
        <f>IF(AND(Assumptions!$B$67=1,BP4&gt;=Assumptions!$B$68,BP4&lt;=Assumptions!$B$68+Assumptions!$B$60),IF(BP4&lt;Assumptions!$B$68+Assumptions!$B$72,0,(-PMT(Assumptions!$B$89,Assumptions!$B$71,Refinance!$B$11))-BP13),0)</f>
        <v>1762.5132386361565</v>
      </c>
      <c r="BQ14" s="64">
        <f>IF(AND(Assumptions!$B$67=1,BQ4&gt;=Assumptions!$B$68,BQ4&lt;=Assumptions!$B$68+Assumptions!$B$60),IF(BQ4&lt;Assumptions!$B$68+Assumptions!$B$72,0,(-PMT(Assumptions!$B$89,Assumptions!$B$71,Refinance!$B$11))-BQ13),0)</f>
        <v>1771.3258048293374</v>
      </c>
      <c r="BR14" s="64">
        <f>IF(AND(Assumptions!$B$67=1,BR4&gt;=Assumptions!$B$68,BR4&lt;=Assumptions!$B$68+Assumptions!$B$60),IF(BR4&lt;Assumptions!$B$68+Assumptions!$B$72,0,(-PMT(Assumptions!$B$89,Assumptions!$B$71,Refinance!$B$11))-BR13),0)</f>
        <v>1780.1824338534843</v>
      </c>
      <c r="BS14" s="64">
        <f>IF(AND(Assumptions!$B$67=1,BS4&gt;=Assumptions!$B$68,BS4&lt;=Assumptions!$B$68+Assumptions!$B$60),IF(BS4&lt;Assumptions!$B$68+Assumptions!$B$72,0,(-PMT(Assumptions!$B$89,Assumptions!$B$71,Refinance!$B$11))-BS13),0)</f>
        <v>1789.0833460227514</v>
      </c>
      <c r="BT14" s="64">
        <f>IF(AND(Assumptions!$B$67=1,BT4&gt;=Assumptions!$B$68,BT4&lt;=Assumptions!$B$68+Assumptions!$B$60),IF(BT4&lt;Assumptions!$B$68+Assumptions!$B$72,0,(-PMT(Assumptions!$B$89,Assumptions!$B$71,Refinance!$B$11))-BT13),0)</f>
        <v>1798.0287627528651</v>
      </c>
      <c r="BU14" s="64">
        <f>IF(AND(Assumptions!$B$67=1,BU4&gt;=Assumptions!$B$68,BU4&lt;=Assumptions!$B$68+Assumptions!$B$60),IF(BU4&lt;Assumptions!$B$68+Assumptions!$B$72,0,(-PMT(Assumptions!$B$89,Assumptions!$B$71,Refinance!$B$11))-BU13),0)</f>
        <v>1807.0189065666291</v>
      </c>
      <c r="BV14" s="64">
        <f>IF(AND(Assumptions!$B$67=1,BV4&gt;=Assumptions!$B$68,BV4&lt;=Assumptions!$B$68+Assumptions!$B$60),IF(BV4&lt;Assumptions!$B$68+Assumptions!$B$72,0,(-PMT(Assumptions!$B$89,Assumptions!$B$71,Refinance!$B$11))-BV13),0)</f>
        <v>1816.0540010994619</v>
      </c>
      <c r="BW14" s="64">
        <f>IF(AND(Assumptions!$B$67=1,BW4&gt;=Assumptions!$B$68,BW4&lt;=Assumptions!$B$68+Assumptions!$B$60),IF(BW4&lt;Assumptions!$B$68+Assumptions!$B$72,0,(-PMT(Assumptions!$B$89,Assumptions!$B$71,Refinance!$B$11))-BW13),0)</f>
        <v>1825.1342711049592</v>
      </c>
      <c r="BX14" s="64">
        <f>IF(AND(Assumptions!$B$67=1,BX4&gt;=Assumptions!$B$68,BX4&lt;=Assumptions!$B$68+Assumptions!$B$60),IF(BX4&lt;Assumptions!$B$68+Assumptions!$B$72,0,(-PMT(Assumptions!$B$89,Assumptions!$B$71,Refinance!$B$11))-BX13),0)</f>
        <v>1834.2599424604841</v>
      </c>
      <c r="BY14" s="64">
        <f>IF(AND(Assumptions!$B$67=1,BY4&gt;=Assumptions!$B$68,BY4&lt;=Assumptions!$B$68+Assumptions!$B$60),IF(BY4&lt;Assumptions!$B$68+Assumptions!$B$72,0,(-PMT(Assumptions!$B$89,Assumptions!$B$71,Refinance!$B$11))-BY13),0)</f>
        <v>1843.4312421727873</v>
      </c>
      <c r="BZ14" s="64">
        <f>IF(AND(Assumptions!$B$67=1,BZ4&gt;=Assumptions!$B$68,BZ4&lt;=Assumptions!$B$68+Assumptions!$B$60),IF(BZ4&lt;Assumptions!$B$68+Assumptions!$B$72,0,(-PMT(Assumptions!$B$89,Assumptions!$B$71,Refinance!$B$11))-BZ13),0)</f>
        <v>1852.6483983836515</v>
      </c>
      <c r="CA14" s="64">
        <f>IF(AND(Assumptions!$B$67=1,CA4&gt;=Assumptions!$B$68,CA4&lt;=Assumptions!$B$68+Assumptions!$B$60),IF(CA4&lt;Assumptions!$B$68+Assumptions!$B$72,0,(-PMT(Assumptions!$B$89,Assumptions!$B$71,Refinance!$B$11))-CA13),0)</f>
        <v>1861.9116403755706</v>
      </c>
      <c r="CB14" s="64">
        <f>IF(AND(Assumptions!$B$67=1,CB4&gt;=Assumptions!$B$68,CB4&lt;=Assumptions!$B$68+Assumptions!$B$60),IF(CB4&lt;Assumptions!$B$68+Assumptions!$B$72,0,(-PMT(Assumptions!$B$89,Assumptions!$B$71,Refinance!$B$11))-CB13),0)</f>
        <v>1871.2211985774484</v>
      </c>
      <c r="CC14" s="64">
        <f>IF(AND(Assumptions!$B$67=1,CC4&gt;=Assumptions!$B$68,CC4&lt;=Assumptions!$B$68+Assumptions!$B$60),IF(CC4&lt;Assumptions!$B$68+Assumptions!$B$72,0,(-PMT(Assumptions!$B$89,Assumptions!$B$71,Refinance!$B$11))-CC13),0)</f>
        <v>1880.5773045703354</v>
      </c>
      <c r="CD14" s="64">
        <f>IF(AND(Assumptions!$B$67=1,CD4&gt;=Assumptions!$B$68,CD4&lt;=Assumptions!$B$68+Assumptions!$B$60),IF(CD4&lt;Assumptions!$B$68+Assumptions!$B$72,0,(-PMT(Assumptions!$B$89,Assumptions!$B$71,Refinance!$B$11))-CD13),0)</f>
        <v>1889.9801910931865</v>
      </c>
      <c r="CE14" s="64">
        <f>IF(AND(Assumptions!$B$67=1,CE4&gt;=Assumptions!$B$68,CE4&lt;=Assumptions!$B$68+Assumptions!$B$60),IF(CE4&lt;Assumptions!$B$68+Assumptions!$B$72,0,(-PMT(Assumptions!$B$89,Assumptions!$B$71,Refinance!$B$11))-CE13),0)</f>
        <v>1899.430092048653</v>
      </c>
      <c r="CF14" s="64">
        <f>IF(AND(Assumptions!$B$67=1,CF4&gt;=Assumptions!$B$68,CF4&lt;=Assumptions!$B$68+Assumptions!$B$60),IF(CF4&lt;Assumptions!$B$68+Assumptions!$B$72,0,(-PMT(Assumptions!$B$89,Assumptions!$B$71,Refinance!$B$11))-CF13),0)</f>
        <v>1908.9272425088957</v>
      </c>
      <c r="CG14" s="64">
        <f>IF(AND(Assumptions!$B$67=1,CG4&gt;=Assumptions!$B$68,CG4&lt;=Assumptions!$B$68+Assumptions!$B$60),IF(CG4&lt;Assumptions!$B$68+Assumptions!$B$72,0,(-PMT(Assumptions!$B$89,Assumptions!$B$71,Refinance!$B$11))-CG13),0)</f>
        <v>1918.4718787214397</v>
      </c>
      <c r="CH14" s="64">
        <f>IF(AND(Assumptions!$B$67=1,CH4&gt;=Assumptions!$B$68,CH4&lt;=Assumptions!$B$68+Assumptions!$B$60),IF(CH4&lt;Assumptions!$B$68+Assumptions!$B$72,0,(-PMT(Assumptions!$B$89,Assumptions!$B$71,Refinance!$B$11))-CH13),0)</f>
        <v>1928.0642381150465</v>
      </c>
      <c r="CI14" s="64">
        <f>IF(AND(Assumptions!$B$67=1,CI4&gt;=Assumptions!$B$68,CI4&lt;=Assumptions!$B$68+Assumptions!$B$60),IF(CI4&lt;Assumptions!$B$68+Assumptions!$B$72,0,(-PMT(Assumptions!$B$89,Assumptions!$B$71,Refinance!$B$11))-CI13),0)</f>
        <v>1937.7045593056218</v>
      </c>
      <c r="CJ14" s="64">
        <f>IF(AND(Assumptions!$B$67=1,CJ4&gt;=Assumptions!$B$68,CJ4&lt;=Assumptions!$B$68+Assumptions!$B$60),IF(CJ4&lt;Assumptions!$B$68+Assumptions!$B$72,0,(-PMT(Assumptions!$B$89,Assumptions!$B$71,Refinance!$B$11))-CJ13),0)</f>
        <v>1947.3930821021504</v>
      </c>
      <c r="CK14" s="64">
        <f>IF(AND(Assumptions!$B$67=1,CK4&gt;=Assumptions!$B$68,CK4&lt;=Assumptions!$B$68+Assumptions!$B$60),IF(CK4&lt;Assumptions!$B$68+Assumptions!$B$72,0,(-PMT(Assumptions!$B$89,Assumptions!$B$71,Refinance!$B$11))-CK13),0)</f>
        <v>1957.1300475126609</v>
      </c>
      <c r="CL14" s="64">
        <f>IF(AND(Assumptions!$B$67=1,CL4&gt;=Assumptions!$B$68,CL4&lt;=Assumptions!$B$68+Assumptions!$B$60),IF(CL4&lt;Assumptions!$B$68+Assumptions!$B$72,0,(-PMT(Assumptions!$B$89,Assumptions!$B$71,Refinance!$B$11))-CL13),0)</f>
        <v>1966.9156977502244</v>
      </c>
      <c r="CM14" s="64">
        <f>IF(AND(Assumptions!$B$67=1,CM4&gt;=Assumptions!$B$68,CM4&lt;=Assumptions!$B$68+Assumptions!$B$60),IF(CM4&lt;Assumptions!$B$68+Assumptions!$B$72,0,(-PMT(Assumptions!$B$89,Assumptions!$B$71,Refinance!$B$11))-CM13),0)</f>
        <v>1976.7502762389749</v>
      </c>
      <c r="CN14" s="64">
        <f>IF(AND(Assumptions!$B$67=1,CN4&gt;=Assumptions!$B$68,CN4&lt;=Assumptions!$B$68+Assumptions!$B$60),IF(CN4&lt;Assumptions!$B$68+Assumptions!$B$72,0,(-PMT(Assumptions!$B$89,Assumptions!$B$71,Refinance!$B$11))-CN13),0)</f>
        <v>1986.634027620169</v>
      </c>
      <c r="CO14" s="64">
        <f>IF(AND(Assumptions!$B$67=1,CO4&gt;=Assumptions!$B$68,CO4&lt;=Assumptions!$B$68+Assumptions!$B$60),IF(CO4&lt;Assumptions!$B$68+Assumptions!$B$72,0,(-PMT(Assumptions!$B$89,Assumptions!$B$71,Refinance!$B$11))-CO13),0)</f>
        <v>1996.5671977582697</v>
      </c>
      <c r="CP14" s="64">
        <f>IF(AND(Assumptions!$B$67=1,CP4&gt;=Assumptions!$B$68,CP4&lt;=Assumptions!$B$68+Assumptions!$B$60),IF(CP4&lt;Assumptions!$B$68+Assumptions!$B$72,0,(-PMT(Assumptions!$B$89,Assumptions!$B$71,Refinance!$B$11))-CP13),0)</f>
        <v>2006.5500337470612</v>
      </c>
      <c r="CQ14" s="64">
        <f>IF(AND(Assumptions!$B$67=1,CQ4&gt;=Assumptions!$B$68,CQ4&lt;=Assumptions!$B$68+Assumptions!$B$60),IF(CQ4&lt;Assumptions!$B$68+Assumptions!$B$72,0,(-PMT(Assumptions!$B$89,Assumptions!$B$71,Refinance!$B$11))-CQ13),0)</f>
        <v>2016.5827839157955</v>
      </c>
      <c r="CR14" s="64">
        <f>IF(AND(Assumptions!$B$67=1,CR4&gt;=Assumptions!$B$68,CR4&lt;=Assumptions!$B$68+Assumptions!$B$60),IF(CR4&lt;Assumptions!$B$68+Assumptions!$B$72,0,(-PMT(Assumptions!$B$89,Assumptions!$B$71,Refinance!$B$11))-CR13),0)</f>
        <v>2026.6656978353749</v>
      </c>
      <c r="CS14" s="64">
        <f>IF(AND(Assumptions!$B$67=1,CS4&gt;=Assumptions!$B$68,CS4&lt;=Assumptions!$B$68+Assumptions!$B$60),IF(CS4&lt;Assumptions!$B$68+Assumptions!$B$72,0,(-PMT(Assumptions!$B$89,Assumptions!$B$71,Refinance!$B$11))-CS13),0)</f>
        <v>2036.799026324552</v>
      </c>
      <c r="CT14" s="64">
        <f>IF(AND(Assumptions!$B$67=1,CT4&gt;=Assumptions!$B$68,CT4&lt;=Assumptions!$B$68+Assumptions!$B$60),IF(CT4&lt;Assumptions!$B$68+Assumptions!$B$72,0,(-PMT(Assumptions!$B$89,Assumptions!$B$71,Refinance!$B$11))-CT13),0)</f>
        <v>2046.9830214561753</v>
      </c>
      <c r="CU14" s="64">
        <f>IF(AND(Assumptions!$B$67=1,CU4&gt;=Assumptions!$B$68,CU4&lt;=Assumptions!$B$68+Assumptions!$B$60),IF(CU4&lt;Assumptions!$B$68+Assumptions!$B$72,0,(-PMT(Assumptions!$B$89,Assumptions!$B$71,Refinance!$B$11))-CU13),0)</f>
        <v>2057.2179365634565</v>
      </c>
      <c r="CV14" s="64">
        <f>IF(AND(Assumptions!$B$67=1,CV4&gt;=Assumptions!$B$68,CV4&lt;=Assumptions!$B$68+Assumptions!$B$60),IF(CV4&lt;Assumptions!$B$68+Assumptions!$B$72,0,(-PMT(Assumptions!$B$89,Assumptions!$B$71,Refinance!$B$11))-CV13),0)</f>
        <v>2067.5040262462744</v>
      </c>
      <c r="CW14" s="64">
        <f>IF(AND(Assumptions!$B$67=1,CW4&gt;=Assumptions!$B$68,CW4&lt;=Assumptions!$B$68+Assumptions!$B$60),IF(CW4&lt;Assumptions!$B$68+Assumptions!$B$72,0,(-PMT(Assumptions!$B$89,Assumptions!$B$71,Refinance!$B$11))-CW13),0)</f>
        <v>2077.8415463775054</v>
      </c>
      <c r="CX14" s="64">
        <f>IF(AND(Assumptions!$B$67=1,CX4&gt;=Assumptions!$B$68,CX4&lt;=Assumptions!$B$68+Assumptions!$B$60),IF(CX4&lt;Assumptions!$B$68+Assumptions!$B$72,0,(-PMT(Assumptions!$B$89,Assumptions!$B$71,Refinance!$B$11))-CX13),0)</f>
        <v>2088.2307541093924</v>
      </c>
      <c r="CY14" s="64">
        <f>IF(AND(Assumptions!$B$67=1,CY4&gt;=Assumptions!$B$68,CY4&lt;=Assumptions!$B$68+Assumptions!$B$60),IF(CY4&lt;Assumptions!$B$68+Assumptions!$B$72,0,(-PMT(Assumptions!$B$89,Assumptions!$B$71,Refinance!$B$11))-CY13),0)</f>
        <v>2098.6719078799388</v>
      </c>
      <c r="CZ14" s="64">
        <f>IF(AND(Assumptions!$B$67=1,CZ4&gt;=Assumptions!$B$68,CZ4&lt;=Assumptions!$B$68+Assumptions!$B$60),IF(CZ4&lt;Assumptions!$B$68+Assumptions!$B$72,0,(-PMT(Assumptions!$B$89,Assumptions!$B$71,Refinance!$B$11))-CZ13),0)</f>
        <v>2109.1652674193383</v>
      </c>
      <c r="DA14" s="64">
        <f>IF(AND(Assumptions!$B$67=1,DA4&gt;=Assumptions!$B$68,DA4&lt;=Assumptions!$B$68+Assumptions!$B$60),IF(DA4&lt;Assumptions!$B$68+Assumptions!$B$72,0,(-PMT(Assumptions!$B$89,Assumptions!$B$71,Refinance!$B$11))-DA13),0)</f>
        <v>2119.7110937564348</v>
      </c>
      <c r="DB14" s="64">
        <f>IF(AND(Assumptions!$B$67=1,DB4&gt;=Assumptions!$B$68,DB4&lt;=Assumptions!$B$68+Assumptions!$B$60),IF(DB4&lt;Assumptions!$B$68+Assumptions!$B$72,0,(-PMT(Assumptions!$B$89,Assumptions!$B$71,Refinance!$B$11))-DB13),0)</f>
        <v>2130.3096492252171</v>
      </c>
      <c r="DC14" s="64">
        <f>IF(AND(Assumptions!$B$67=1,DC4&gt;=Assumptions!$B$68,DC4&lt;=Assumptions!$B$68+Assumptions!$B$60),IF(DC4&lt;Assumptions!$B$68+Assumptions!$B$72,0,(-PMT(Assumptions!$B$89,Assumptions!$B$71,Refinance!$B$11))-DC13),0)</f>
        <v>2140.9611974713434</v>
      </c>
      <c r="DD14" s="64">
        <f>IF(AND(Assumptions!$B$67=1,DD4&gt;=Assumptions!$B$68,DD4&lt;=Assumptions!$B$68+Assumptions!$B$60),IF(DD4&lt;Assumptions!$B$68+Assumptions!$B$72,0,(-PMT(Assumptions!$B$89,Assumptions!$B$71,Refinance!$B$11))-DD13),0)</f>
        <v>2151.6660034586994</v>
      </c>
      <c r="DE14" s="64">
        <f>IF(AND(Assumptions!$B$67=1,DE4&gt;=Assumptions!$B$68,DE4&lt;=Assumptions!$B$68+Assumptions!$B$60),IF(DE4&lt;Assumptions!$B$68+Assumptions!$B$72,0,(-PMT(Assumptions!$B$89,Assumptions!$B$71,Refinance!$B$11))-DE13),0)</f>
        <v>2162.4243334759931</v>
      </c>
      <c r="DF14" s="64">
        <f>IF(AND(Assumptions!$B$67=1,DF4&gt;=Assumptions!$B$68,DF4&lt;=Assumptions!$B$68+Assumptions!$B$60),IF(DF4&lt;Assumptions!$B$68+Assumptions!$B$72,0,(-PMT(Assumptions!$B$89,Assumptions!$B$71,Refinance!$B$11))-DF13),0)</f>
        <v>2173.236455143373</v>
      </c>
      <c r="DG14" s="64">
        <f>IF(AND(Assumptions!$B$67=1,DG4&gt;=Assumptions!$B$68,DG4&lt;=Assumptions!$B$68+Assumptions!$B$60),IF(DG4&lt;Assumptions!$B$68+Assumptions!$B$72,0,(-PMT(Assumptions!$B$89,Assumptions!$B$71,Refinance!$B$11))-DG13),0)</f>
        <v>2184.1026374190897</v>
      </c>
      <c r="DH14" s="64">
        <f>IF(AND(Assumptions!$B$67=1,DH4&gt;=Assumptions!$B$68,DH4&lt;=Assumptions!$B$68+Assumptions!$B$60),IF(DH4&lt;Assumptions!$B$68+Assumptions!$B$72,0,(-PMT(Assumptions!$B$89,Assumptions!$B$71,Refinance!$B$11))-DH13),0)</f>
        <v>2195.0231506061855</v>
      </c>
      <c r="DI14" s="64">
        <f>IF(AND(Assumptions!$B$67=1,DI4&gt;=Assumptions!$B$68,DI4&lt;=Assumptions!$B$68+Assumptions!$B$60),IF(DI4&lt;Assumptions!$B$68+Assumptions!$B$72,0,(-PMT(Assumptions!$B$89,Assumptions!$B$71,Refinance!$B$11))-DI13),0)</f>
        <v>2205.9982663592154</v>
      </c>
      <c r="DJ14" s="64">
        <f>IF(AND(Assumptions!$B$67=1,DJ4&gt;=Assumptions!$B$68,DJ4&lt;=Assumptions!$B$68+Assumptions!$B$60),IF(DJ4&lt;Assumptions!$B$68+Assumptions!$B$72,0,(-PMT(Assumptions!$B$89,Assumptions!$B$71,Refinance!$B$11))-DJ13),0)</f>
        <v>2217.0282576910122</v>
      </c>
      <c r="DK14" s="64">
        <f>IF(AND(Assumptions!$B$67=1,DK4&gt;=Assumptions!$B$68,DK4&lt;=Assumptions!$B$68+Assumptions!$B$60),IF(DK4&lt;Assumptions!$B$68+Assumptions!$B$72,0,(-PMT(Assumptions!$B$89,Assumptions!$B$71,Refinance!$B$11))-DK13),0)</f>
        <v>2228.1133989794671</v>
      </c>
      <c r="DL14" s="64">
        <f>IF(AND(Assumptions!$B$67=1,DL4&gt;=Assumptions!$B$68,DL4&lt;=Assumptions!$B$68+Assumptions!$B$60),IF(DL4&lt;Assumptions!$B$68+Assumptions!$B$72,0,(-PMT(Assumptions!$B$89,Assumptions!$B$71,Refinance!$B$11))-DL13),0)</f>
        <v>2239.2539659743643</v>
      </c>
      <c r="DM14" s="64">
        <f>IF(AND(Assumptions!$B$67=1,DM4&gt;=Assumptions!$B$68,DM4&lt;=Assumptions!$B$68+Assumptions!$B$60),IF(DM4&lt;Assumptions!$B$68+Assumptions!$B$72,0,(-PMT(Assumptions!$B$89,Assumptions!$B$71,Refinance!$B$11))-DM13),0)</f>
        <v>2250.4502358042364</v>
      </c>
      <c r="DN14" s="64">
        <f>IF(AND(Assumptions!$B$67=1,DN4&gt;=Assumptions!$B$68,DN4&lt;=Assumptions!$B$68+Assumptions!$B$60),IF(DN4&lt;Assumptions!$B$68+Assumptions!$B$72,0,(-PMT(Assumptions!$B$89,Assumptions!$B$71,Refinance!$B$11))-DN13),0)</f>
        <v>2261.7024869832576</v>
      </c>
      <c r="DO14" s="64">
        <f>IF(AND(Assumptions!$B$67=1,DO4&gt;=Assumptions!$B$68,DO4&lt;=Assumptions!$B$68+Assumptions!$B$60),IF(DO4&lt;Assumptions!$B$68+Assumptions!$B$72,0,(-PMT(Assumptions!$B$89,Assumptions!$B$71,Refinance!$B$11))-DO13),0)</f>
        <v>2273.0109994181739</v>
      </c>
      <c r="DP14" s="64">
        <f>IF(AND(Assumptions!$B$67=1,DP4&gt;=Assumptions!$B$68,DP4&lt;=Assumptions!$B$68+Assumptions!$B$60),IF(DP4&lt;Assumptions!$B$68+Assumptions!$B$72,0,(-PMT(Assumptions!$B$89,Assumptions!$B$71,Refinance!$B$11))-DP13),0)</f>
        <v>2284.3760544152647</v>
      </c>
      <c r="DQ14" s="64">
        <f>IF(AND(Assumptions!$B$67=1,DQ4&gt;=Assumptions!$B$68,DQ4&lt;=Assumptions!$B$68+Assumptions!$B$60),IF(DQ4&lt;Assumptions!$B$68+Assumptions!$B$72,0,(-PMT(Assumptions!$B$89,Assumptions!$B$71,Refinance!$B$11))-DQ13),0)</f>
        <v>2295.7979346873408</v>
      </c>
      <c r="DR14" s="64">
        <f>IF(AND(Assumptions!$B$67=1,DR4&gt;=Assumptions!$B$68,DR4&lt;=Assumptions!$B$68+Assumptions!$B$60),IF(DR4&lt;Assumptions!$B$68+Assumptions!$B$72,0,(-PMT(Assumptions!$B$89,Assumptions!$B$71,Refinance!$B$11))-DR13),0)</f>
        <v>2307.2769243607772</v>
      </c>
      <c r="DS14" s="64">
        <f>IF(AND(Assumptions!$B$67=1,DS4&gt;=Assumptions!$B$68,DS4&lt;=Assumptions!$B$68+Assumptions!$B$60),IF(DS4&lt;Assumptions!$B$68+Assumptions!$B$72,0,(-PMT(Assumptions!$B$89,Assumptions!$B$71,Refinance!$B$11))-DS13),0)</f>
        <v>2318.8133089825806</v>
      </c>
    </row>
    <row r="15" spans="1:123" x14ac:dyDescent="0.25">
      <c r="A15" s="51" t="s">
        <v>334</v>
      </c>
      <c r="D15" s="64">
        <f t="shared" ref="D15:AI15" si="8">D13+D14</f>
        <v>0</v>
      </c>
      <c r="E15" s="64">
        <f t="shared" si="8"/>
        <v>0</v>
      </c>
      <c r="F15" s="64">
        <f t="shared" si="8"/>
        <v>0</v>
      </c>
      <c r="G15" s="64">
        <f t="shared" si="8"/>
        <v>0</v>
      </c>
      <c r="H15" s="64">
        <f t="shared" si="8"/>
        <v>0</v>
      </c>
      <c r="I15" s="64">
        <f t="shared" si="8"/>
        <v>0</v>
      </c>
      <c r="J15" s="64">
        <f t="shared" si="8"/>
        <v>0</v>
      </c>
      <c r="K15" s="64">
        <f t="shared" si="8"/>
        <v>0</v>
      </c>
      <c r="L15" s="64">
        <f t="shared" si="8"/>
        <v>0</v>
      </c>
      <c r="M15" s="64">
        <f t="shared" si="8"/>
        <v>0</v>
      </c>
      <c r="N15" s="64">
        <f t="shared" si="8"/>
        <v>0</v>
      </c>
      <c r="O15" s="64">
        <f t="shared" si="8"/>
        <v>0</v>
      </c>
      <c r="P15" s="64">
        <f t="shared" si="8"/>
        <v>0</v>
      </c>
      <c r="Q15" s="64">
        <f t="shared" si="8"/>
        <v>0</v>
      </c>
      <c r="R15" s="64">
        <f t="shared" si="8"/>
        <v>0</v>
      </c>
      <c r="S15" s="64">
        <f t="shared" si="8"/>
        <v>0</v>
      </c>
      <c r="T15" s="64">
        <f t="shared" si="8"/>
        <v>0</v>
      </c>
      <c r="U15" s="64">
        <f t="shared" si="8"/>
        <v>0</v>
      </c>
      <c r="V15" s="64">
        <f t="shared" si="8"/>
        <v>0</v>
      </c>
      <c r="W15" s="64">
        <f t="shared" si="8"/>
        <v>0</v>
      </c>
      <c r="X15" s="64">
        <f t="shared" si="8"/>
        <v>0</v>
      </c>
      <c r="Y15" s="64">
        <f t="shared" si="8"/>
        <v>0</v>
      </c>
      <c r="Z15" s="64">
        <f t="shared" si="8"/>
        <v>0</v>
      </c>
      <c r="AA15" s="64">
        <f t="shared" si="8"/>
        <v>0</v>
      </c>
      <c r="AB15" s="64">
        <f t="shared" si="8"/>
        <v>0</v>
      </c>
      <c r="AC15" s="64">
        <f t="shared" si="8"/>
        <v>0</v>
      </c>
      <c r="AD15" s="64">
        <f t="shared" si="8"/>
        <v>0</v>
      </c>
      <c r="AE15" s="64">
        <f t="shared" si="8"/>
        <v>0</v>
      </c>
      <c r="AF15" s="64">
        <f t="shared" si="8"/>
        <v>0</v>
      </c>
      <c r="AG15" s="64">
        <f t="shared" si="8"/>
        <v>0</v>
      </c>
      <c r="AH15" s="64">
        <f t="shared" si="8"/>
        <v>0</v>
      </c>
      <c r="AI15" s="64">
        <f t="shared" si="8"/>
        <v>0</v>
      </c>
      <c r="AJ15" s="64">
        <f t="shared" ref="AJ15:BO15" si="9">AJ13+AJ14</f>
        <v>0</v>
      </c>
      <c r="AK15" s="64">
        <f t="shared" si="9"/>
        <v>0</v>
      </c>
      <c r="AL15" s="64">
        <f t="shared" si="9"/>
        <v>0</v>
      </c>
      <c r="AM15" s="64">
        <f t="shared" si="9"/>
        <v>9185.41598379467</v>
      </c>
      <c r="AN15" s="64">
        <f t="shared" si="9"/>
        <v>9185.41598379467</v>
      </c>
      <c r="AO15" s="64">
        <f t="shared" si="9"/>
        <v>9185.41598379467</v>
      </c>
      <c r="AP15" s="64">
        <f t="shared" si="9"/>
        <v>9185.41598379467</v>
      </c>
      <c r="AQ15" s="64">
        <f t="shared" si="9"/>
        <v>9185.41598379467</v>
      </c>
      <c r="AR15" s="64">
        <f t="shared" si="9"/>
        <v>9185.41598379467</v>
      </c>
      <c r="AS15" s="64">
        <f t="shared" si="9"/>
        <v>9185.41598379467</v>
      </c>
      <c r="AT15" s="64">
        <f t="shared" si="9"/>
        <v>9185.41598379467</v>
      </c>
      <c r="AU15" s="64">
        <f t="shared" si="9"/>
        <v>9185.41598379467</v>
      </c>
      <c r="AV15" s="64">
        <f t="shared" si="9"/>
        <v>9185.41598379467</v>
      </c>
      <c r="AW15" s="64">
        <f t="shared" si="9"/>
        <v>9185.41598379467</v>
      </c>
      <c r="AX15" s="64">
        <f t="shared" si="9"/>
        <v>9185.41598379467</v>
      </c>
      <c r="AY15" s="64">
        <f t="shared" si="9"/>
        <v>9185.41598379467</v>
      </c>
      <c r="AZ15" s="64">
        <f t="shared" si="9"/>
        <v>9185.41598379467</v>
      </c>
      <c r="BA15" s="64">
        <f t="shared" si="9"/>
        <v>9185.41598379467</v>
      </c>
      <c r="BB15" s="64">
        <f t="shared" si="9"/>
        <v>9185.41598379467</v>
      </c>
      <c r="BC15" s="64">
        <f t="shared" si="9"/>
        <v>9185.41598379467</v>
      </c>
      <c r="BD15" s="64">
        <f t="shared" si="9"/>
        <v>9185.41598379467</v>
      </c>
      <c r="BE15" s="64">
        <f t="shared" si="9"/>
        <v>9185.41598379467</v>
      </c>
      <c r="BF15" s="64">
        <f t="shared" si="9"/>
        <v>9185.41598379467</v>
      </c>
      <c r="BG15" s="64">
        <f t="shared" si="9"/>
        <v>9185.41598379467</v>
      </c>
      <c r="BH15" s="64">
        <f t="shared" si="9"/>
        <v>9185.41598379467</v>
      </c>
      <c r="BI15" s="64">
        <f t="shared" si="9"/>
        <v>9185.41598379467</v>
      </c>
      <c r="BJ15" s="64">
        <f t="shared" si="9"/>
        <v>9185.41598379467</v>
      </c>
      <c r="BK15" s="64">
        <f t="shared" si="9"/>
        <v>9185.41598379467</v>
      </c>
      <c r="BL15" s="64">
        <f t="shared" si="9"/>
        <v>9185.41598379467</v>
      </c>
      <c r="BM15" s="64">
        <f t="shared" si="9"/>
        <v>9185.41598379467</v>
      </c>
      <c r="BN15" s="64">
        <f t="shared" si="9"/>
        <v>9185.41598379467</v>
      </c>
      <c r="BO15" s="64">
        <f t="shared" si="9"/>
        <v>9185.41598379467</v>
      </c>
      <c r="BP15" s="64">
        <f t="shared" ref="BP15:CU15" si="10">BP13+BP14</f>
        <v>9185.41598379467</v>
      </c>
      <c r="BQ15" s="64">
        <f t="shared" si="10"/>
        <v>9185.41598379467</v>
      </c>
      <c r="BR15" s="64">
        <f t="shared" si="10"/>
        <v>9185.41598379467</v>
      </c>
      <c r="BS15" s="64">
        <f t="shared" si="10"/>
        <v>9185.41598379467</v>
      </c>
      <c r="BT15" s="64">
        <f t="shared" si="10"/>
        <v>9185.41598379467</v>
      </c>
      <c r="BU15" s="64">
        <f t="shared" si="10"/>
        <v>9185.41598379467</v>
      </c>
      <c r="BV15" s="64">
        <f t="shared" si="10"/>
        <v>9185.41598379467</v>
      </c>
      <c r="BW15" s="64">
        <f t="shared" si="10"/>
        <v>9185.41598379467</v>
      </c>
      <c r="BX15" s="64">
        <f t="shared" si="10"/>
        <v>9185.41598379467</v>
      </c>
      <c r="BY15" s="64">
        <f t="shared" si="10"/>
        <v>9185.41598379467</v>
      </c>
      <c r="BZ15" s="64">
        <f t="shared" si="10"/>
        <v>9185.41598379467</v>
      </c>
      <c r="CA15" s="64">
        <f t="shared" si="10"/>
        <v>9185.41598379467</v>
      </c>
      <c r="CB15" s="64">
        <f t="shared" si="10"/>
        <v>9185.41598379467</v>
      </c>
      <c r="CC15" s="64">
        <f t="shared" si="10"/>
        <v>9185.41598379467</v>
      </c>
      <c r="CD15" s="64">
        <f t="shared" si="10"/>
        <v>9185.41598379467</v>
      </c>
      <c r="CE15" s="64">
        <f t="shared" si="10"/>
        <v>9185.41598379467</v>
      </c>
      <c r="CF15" s="64">
        <f t="shared" si="10"/>
        <v>9185.41598379467</v>
      </c>
      <c r="CG15" s="64">
        <f t="shared" si="10"/>
        <v>9185.41598379467</v>
      </c>
      <c r="CH15" s="64">
        <f t="shared" si="10"/>
        <v>9185.41598379467</v>
      </c>
      <c r="CI15" s="64">
        <f t="shared" si="10"/>
        <v>9185.41598379467</v>
      </c>
      <c r="CJ15" s="64">
        <f t="shared" si="10"/>
        <v>9185.41598379467</v>
      </c>
      <c r="CK15" s="64">
        <f t="shared" si="10"/>
        <v>9185.41598379467</v>
      </c>
      <c r="CL15" s="64">
        <f t="shared" si="10"/>
        <v>9185.41598379467</v>
      </c>
      <c r="CM15" s="64">
        <f t="shared" si="10"/>
        <v>9185.41598379467</v>
      </c>
      <c r="CN15" s="64">
        <f t="shared" si="10"/>
        <v>9185.41598379467</v>
      </c>
      <c r="CO15" s="64">
        <f t="shared" si="10"/>
        <v>9185.41598379467</v>
      </c>
      <c r="CP15" s="64">
        <f t="shared" si="10"/>
        <v>9185.41598379467</v>
      </c>
      <c r="CQ15" s="64">
        <f t="shared" si="10"/>
        <v>9185.41598379467</v>
      </c>
      <c r="CR15" s="64">
        <f t="shared" si="10"/>
        <v>9185.41598379467</v>
      </c>
      <c r="CS15" s="64">
        <f t="shared" si="10"/>
        <v>9185.41598379467</v>
      </c>
      <c r="CT15" s="64">
        <f t="shared" si="10"/>
        <v>9185.41598379467</v>
      </c>
      <c r="CU15" s="64">
        <f t="shared" si="10"/>
        <v>9185.41598379467</v>
      </c>
      <c r="CV15" s="64">
        <f t="shared" ref="CV15:DS15" si="11">CV13+CV14</f>
        <v>9185.41598379467</v>
      </c>
      <c r="CW15" s="64">
        <f t="shared" si="11"/>
        <v>9185.41598379467</v>
      </c>
      <c r="CX15" s="64">
        <f t="shared" si="11"/>
        <v>9185.41598379467</v>
      </c>
      <c r="CY15" s="64">
        <f t="shared" si="11"/>
        <v>9185.41598379467</v>
      </c>
      <c r="CZ15" s="64">
        <f t="shared" si="11"/>
        <v>9185.41598379467</v>
      </c>
      <c r="DA15" s="64">
        <f t="shared" si="11"/>
        <v>9185.41598379467</v>
      </c>
      <c r="DB15" s="64">
        <f t="shared" si="11"/>
        <v>9185.41598379467</v>
      </c>
      <c r="DC15" s="64">
        <f t="shared" si="11"/>
        <v>9185.41598379467</v>
      </c>
      <c r="DD15" s="64">
        <f t="shared" si="11"/>
        <v>9185.41598379467</v>
      </c>
      <c r="DE15" s="64">
        <f t="shared" si="11"/>
        <v>9185.41598379467</v>
      </c>
      <c r="DF15" s="64">
        <f t="shared" si="11"/>
        <v>9185.41598379467</v>
      </c>
      <c r="DG15" s="64">
        <f t="shared" si="11"/>
        <v>9185.41598379467</v>
      </c>
      <c r="DH15" s="64">
        <f t="shared" si="11"/>
        <v>9185.41598379467</v>
      </c>
      <c r="DI15" s="64">
        <f t="shared" si="11"/>
        <v>9185.41598379467</v>
      </c>
      <c r="DJ15" s="64">
        <f t="shared" si="11"/>
        <v>9185.41598379467</v>
      </c>
      <c r="DK15" s="64">
        <f t="shared" si="11"/>
        <v>9185.41598379467</v>
      </c>
      <c r="DL15" s="64">
        <f t="shared" si="11"/>
        <v>9185.41598379467</v>
      </c>
      <c r="DM15" s="64">
        <f t="shared" si="11"/>
        <v>9185.41598379467</v>
      </c>
      <c r="DN15" s="64">
        <f t="shared" si="11"/>
        <v>9185.41598379467</v>
      </c>
      <c r="DO15" s="64">
        <f t="shared" si="11"/>
        <v>9185.41598379467</v>
      </c>
      <c r="DP15" s="64">
        <f t="shared" si="11"/>
        <v>9185.41598379467</v>
      </c>
      <c r="DQ15" s="64">
        <f t="shared" si="11"/>
        <v>9185.41598379467</v>
      </c>
      <c r="DR15" s="64">
        <f t="shared" si="11"/>
        <v>9185.41598379467</v>
      </c>
      <c r="DS15" s="64">
        <f t="shared" si="11"/>
        <v>9185.41598379467</v>
      </c>
    </row>
    <row r="16" spans="1:123" x14ac:dyDescent="0.25">
      <c r="A16" s="1" t="s">
        <v>338</v>
      </c>
      <c r="D16" s="64">
        <f>IF(AND(Assumptions!$B$67=1,D4&gt;=Assumptions!$B$68,D4&lt;=Assumptions!$B$68+Assumptions!$B$60),'Debt Schedule'!D12-'Debt Schedule'!D14,0)</f>
        <v>0</v>
      </c>
      <c r="E16" s="64">
        <f>IF(AND(Assumptions!$B$67=1,E4&gt;=Assumptions!$B$68,E4&lt;=Assumptions!$B$68+Assumptions!$B$60),E12-E14,0)</f>
        <v>0</v>
      </c>
      <c r="F16" s="64">
        <f>IF(AND(Assumptions!$B$67=1,F4&gt;=Assumptions!$B$68,F4&lt;=Assumptions!$B$68+Assumptions!$B$60),F12-F14,0)</f>
        <v>0</v>
      </c>
      <c r="G16" s="64">
        <f>IF(AND(Assumptions!$B$67=1,G4&gt;=Assumptions!$B$68,G4&lt;=Assumptions!$B$68+Assumptions!$B$60),G12-G14,0)</f>
        <v>0</v>
      </c>
      <c r="H16" s="64">
        <f>IF(AND(Assumptions!$B$67=1,H4&gt;=Assumptions!$B$68,H4&lt;=Assumptions!$B$68+Assumptions!$B$60),H12-H14,0)</f>
        <v>0</v>
      </c>
      <c r="I16" s="64">
        <f>IF(AND(Assumptions!$B$67=1,I4&gt;=Assumptions!$B$68,I4&lt;=Assumptions!$B$68+Assumptions!$B$60),I12-I14,0)</f>
        <v>0</v>
      </c>
      <c r="J16" s="64">
        <f>IF(AND(Assumptions!$B$67=1,J4&gt;=Assumptions!$B$68,J4&lt;=Assumptions!$B$68+Assumptions!$B$60),J12-J14,0)</f>
        <v>0</v>
      </c>
      <c r="K16" s="64">
        <f>IF(AND(Assumptions!$B$67=1,K4&gt;=Assumptions!$B$68,K4&lt;=Assumptions!$B$68+Assumptions!$B$60),K12-K14,0)</f>
        <v>0</v>
      </c>
      <c r="L16" s="64">
        <f>IF(AND(Assumptions!$B$67=1,L4&gt;=Assumptions!$B$68,L4&lt;=Assumptions!$B$68+Assumptions!$B$60),L12-L14,0)</f>
        <v>0</v>
      </c>
      <c r="M16" s="64">
        <f>IF(AND(Assumptions!$B$67=1,M4&gt;=Assumptions!$B$68,M4&lt;=Assumptions!$B$68+Assumptions!$B$60),M12-M14,0)</f>
        <v>0</v>
      </c>
      <c r="N16" s="64">
        <f>IF(AND(Assumptions!$B$67=1,N4&gt;=Assumptions!$B$68,N4&lt;=Assumptions!$B$68+Assumptions!$B$60),N12-N14,0)</f>
        <v>0</v>
      </c>
      <c r="O16" s="64">
        <f>IF(AND(Assumptions!$B$67=1,O4&gt;=Assumptions!$B$68,O4&lt;=Assumptions!$B$68+Assumptions!$B$60),O12-O14,0)</f>
        <v>0</v>
      </c>
      <c r="P16" s="64">
        <f>IF(AND(Assumptions!$B$67=1,P4&gt;=Assumptions!$B$68,P4&lt;=Assumptions!$B$68+Assumptions!$B$60),P12-P14,0)</f>
        <v>0</v>
      </c>
      <c r="Q16" s="64">
        <f>IF(AND(Assumptions!$B$67=1,Q4&gt;=Assumptions!$B$68,Q4&lt;=Assumptions!$B$68+Assumptions!$B$60),Q12-Q14,0)</f>
        <v>0</v>
      </c>
      <c r="R16" s="64">
        <f>IF(AND(Assumptions!$B$67=1,R4&gt;=Assumptions!$B$68,R4&lt;=Assumptions!$B$68+Assumptions!$B$60),R12-R14,0)</f>
        <v>0</v>
      </c>
      <c r="S16" s="64">
        <f>IF(AND(Assumptions!$B$67=1,S4&gt;=Assumptions!$B$68,S4&lt;=Assumptions!$B$68+Assumptions!$B$60),S12-S14,0)</f>
        <v>0</v>
      </c>
      <c r="T16" s="64">
        <f>IF(AND(Assumptions!$B$67=1,T4&gt;=Assumptions!$B$68,T4&lt;=Assumptions!$B$68+Assumptions!$B$60),T12-T14,0)</f>
        <v>0</v>
      </c>
      <c r="U16" s="64">
        <f>IF(AND(Assumptions!$B$67=1,U4&gt;=Assumptions!$B$68,U4&lt;=Assumptions!$B$68+Assumptions!$B$60),U12-U14,0)</f>
        <v>0</v>
      </c>
      <c r="V16" s="64">
        <f>IF(AND(Assumptions!$B$67=1,V4&gt;=Assumptions!$B$68,V4&lt;=Assumptions!$B$68+Assumptions!$B$60),V12-V14,0)</f>
        <v>0</v>
      </c>
      <c r="W16" s="64">
        <f>IF(AND(Assumptions!$B$67=1,W4&gt;=Assumptions!$B$68,W4&lt;=Assumptions!$B$68+Assumptions!$B$60),W12-W14,0)</f>
        <v>0</v>
      </c>
      <c r="X16" s="64">
        <f>IF(AND(Assumptions!$B$67=1,X4&gt;=Assumptions!$B$68,X4&lt;=Assumptions!$B$68+Assumptions!$B$60),X12-X14,0)</f>
        <v>0</v>
      </c>
      <c r="Y16" s="64">
        <f>IF(AND(Assumptions!$B$67=1,Y4&gt;=Assumptions!$B$68,Y4&lt;=Assumptions!$B$68+Assumptions!$B$60),Y12-Y14,0)</f>
        <v>0</v>
      </c>
      <c r="Z16" s="64">
        <f>IF(AND(Assumptions!$B$67=1,Z4&gt;=Assumptions!$B$68,Z4&lt;=Assumptions!$B$68+Assumptions!$B$60),Z12-Z14,0)</f>
        <v>0</v>
      </c>
      <c r="AA16" s="64">
        <f>IF(AND(Assumptions!$B$67=1,AA4&gt;=Assumptions!$B$68,AA4&lt;=Assumptions!$B$68+Assumptions!$B$60),AA12-AA14,0)</f>
        <v>0</v>
      </c>
      <c r="AB16" s="64">
        <f>IF(AND(Assumptions!$B$67=1,AB4&gt;=Assumptions!$B$68,AB4&lt;=Assumptions!$B$68+Assumptions!$B$60),AB12-AB14,0)</f>
        <v>0</v>
      </c>
      <c r="AC16" s="64">
        <f>IF(AND(Assumptions!$B$67=1,AC4&gt;=Assumptions!$B$68,AC4&lt;=Assumptions!$B$68+Assumptions!$B$60),AC12-AC14,0)</f>
        <v>0</v>
      </c>
      <c r="AD16" s="64">
        <f>IF(AND(Assumptions!$B$67=1,AD4&gt;=Assumptions!$B$68,AD4&lt;=Assumptions!$B$68+Assumptions!$B$60),AD12-AD14,0)</f>
        <v>0</v>
      </c>
      <c r="AE16" s="64">
        <f>IF(AND(Assumptions!$B$67=1,AE4&gt;=Assumptions!$B$68,AE4&lt;=Assumptions!$B$68+Assumptions!$B$60),AE12-AE14,0)</f>
        <v>0</v>
      </c>
      <c r="AF16" s="64">
        <f>IF(AND(Assumptions!$B$67=1,AF4&gt;=Assumptions!$B$68,AF4&lt;=Assumptions!$B$68+Assumptions!$B$60),AF12-AF14,0)</f>
        <v>0</v>
      </c>
      <c r="AG16" s="64">
        <f>IF(AND(Assumptions!$B$67=1,AG4&gt;=Assumptions!$B$68,AG4&lt;=Assumptions!$B$68+Assumptions!$B$60),AG12-AG14,0)</f>
        <v>0</v>
      </c>
      <c r="AH16" s="64">
        <f>IF(AND(Assumptions!$B$67=1,AH4&gt;=Assumptions!$B$68,AH4&lt;=Assumptions!$B$68+Assumptions!$B$60),AH12-AH14,0)</f>
        <v>0</v>
      </c>
      <c r="AI16" s="64">
        <f>IF(AND(Assumptions!$B$67=1,AI4&gt;=Assumptions!$B$68,AI4&lt;=Assumptions!$B$68+Assumptions!$B$60),AI12-AI14,0)</f>
        <v>0</v>
      </c>
      <c r="AJ16" s="64">
        <f>IF(AND(Assumptions!$B$67=1,AJ4&gt;=Assumptions!$B$68,AJ4&lt;=Assumptions!$B$68+Assumptions!$B$60),AJ12-AJ14,0)</f>
        <v>0</v>
      </c>
      <c r="AK16" s="64">
        <f>IF(AND(Assumptions!$B$67=1,AK4&gt;=Assumptions!$B$68,AK4&lt;=Assumptions!$B$68+Assumptions!$B$60),AK12-AK14,0)</f>
        <v>0</v>
      </c>
      <c r="AL16" s="64">
        <f>IF(AND(Assumptions!$B$67=1,AL4&gt;=Assumptions!$B$68,AL4&lt;=Assumptions!$B$68+Assumptions!$B$60),AL12-AL14,0)</f>
        <v>0</v>
      </c>
      <c r="AM16" s="64">
        <f>IF(AND(Assumptions!$B$67=1,AM4&gt;=Assumptions!$B$68,AM4&lt;=Assumptions!$B$68+Assumptions!$B$60),AM12-AM14,0)</f>
        <v>1530525.1966224907</v>
      </c>
      <c r="AN16" s="64">
        <f>IF(AND(Assumptions!$B$67=1,AN4&gt;=Assumptions!$B$68,AN4&lt;=Assumptions!$B$68+Assumptions!$B$60),AN12-AN14,0)</f>
        <v>1528992.4066218084</v>
      </c>
      <c r="AO16" s="64">
        <f>IF(AND(Assumptions!$B$67=1,AO4&gt;=Assumptions!$B$68,AO4&lt;=Assumptions!$B$68+Assumptions!$B$60),AO12-AO14,0)</f>
        <v>1527451.9526711227</v>
      </c>
      <c r="AP16" s="64">
        <f>IF(AND(Assumptions!$B$67=1,AP4&gt;=Assumptions!$B$68,AP4&lt;=Assumptions!$B$68+Assumptions!$B$60),AP12-AP14,0)</f>
        <v>1525903.7964506836</v>
      </c>
      <c r="AQ16" s="64">
        <f>IF(AND(Assumptions!$B$67=1,AQ4&gt;=Assumptions!$B$68,AQ4&lt;=Assumptions!$B$68+Assumptions!$B$60),AQ12-AQ14,0)</f>
        <v>1524347.8994491424</v>
      </c>
      <c r="AR16" s="64">
        <f>IF(AND(Assumptions!$B$67=1,AR4&gt;=Assumptions!$B$68,AR4&lt;=Assumptions!$B$68+Assumptions!$B$60),AR12-AR14,0)</f>
        <v>1522784.2229625934</v>
      </c>
      <c r="AS16" s="64">
        <f>IF(AND(Assumptions!$B$67=1,AS4&gt;=Assumptions!$B$68,AS4&lt;=Assumptions!$B$68+Assumptions!$B$60),AS12-AS14,0)</f>
        <v>1521212.7280936118</v>
      </c>
      <c r="AT16" s="64">
        <f>IF(AND(Assumptions!$B$67=1,AT4&gt;=Assumptions!$B$68,AT4&lt;=Assumptions!$B$68+Assumptions!$B$60),AT12-AT14,0)</f>
        <v>1519633.3757502851</v>
      </c>
      <c r="AU16" s="64">
        <f>IF(AND(Assumptions!$B$67=1,AU4&gt;=Assumptions!$B$68,AU4&lt;=Assumptions!$B$68+Assumptions!$B$60),AU12-AU14,0)</f>
        <v>1518046.1266452419</v>
      </c>
      <c r="AV16" s="64">
        <f>IF(AND(Assumptions!$B$67=1,AV4&gt;=Assumptions!$B$68,AV4&lt;=Assumptions!$B$68+Assumptions!$B$60),AV12-AV14,0)</f>
        <v>1516450.9412946734</v>
      </c>
      <c r="AW16" s="64">
        <f>IF(AND(Assumptions!$B$67=1,AW4&gt;=Assumptions!$B$68,AW4&lt;=Assumptions!$B$68+Assumptions!$B$60),AW12-AW14,0)</f>
        <v>1514847.780017352</v>
      </c>
      <c r="AX16" s="64">
        <f>IF(AND(Assumptions!$B$67=1,AX4&gt;=Assumptions!$B$68,AX4&lt;=Assumptions!$B$68+Assumptions!$B$60),AX12-AX14,0)</f>
        <v>1513236.6029336441</v>
      </c>
      <c r="AY16" s="64">
        <f>IF(AND(Assumptions!$B$67=1,AY4&gt;=Assumptions!$B$68,AY4&lt;=Assumptions!$B$68+Assumptions!$B$60),AY12-AY14,0)</f>
        <v>1511617.3699645177</v>
      </c>
      <c r="AZ16" s="64">
        <f>IF(AND(Assumptions!$B$67=1,AZ4&gt;=Assumptions!$B$68,AZ4&lt;=Assumptions!$B$68+Assumptions!$B$60),AZ12-AZ14,0)</f>
        <v>1509990.0408305456</v>
      </c>
      <c r="BA16" s="64">
        <f>IF(AND(Assumptions!$B$67=1,BA4&gt;=Assumptions!$B$68,BA4&lt;=Assumptions!$B$68+Assumptions!$B$60),BA12-BA14,0)</f>
        <v>1508354.5750509037</v>
      </c>
      <c r="BB16" s="64">
        <f>IF(AND(Assumptions!$B$67=1,BB4&gt;=Assumptions!$B$68,BB4&lt;=Assumptions!$B$68+Assumptions!$B$60),BB12-BB14,0)</f>
        <v>1506710.9319423635</v>
      </c>
      <c r="BC16" s="64">
        <f>IF(AND(Assumptions!$B$67=1,BC4&gt;=Assumptions!$B$68,BC4&lt;=Assumptions!$B$68+Assumptions!$B$60),BC12-BC14,0)</f>
        <v>1505059.0706182807</v>
      </c>
      <c r="BD16" s="64">
        <f>IF(AND(Assumptions!$B$67=1,BD4&gt;=Assumptions!$B$68,BD4&lt;=Assumptions!$B$68+Assumptions!$B$60),BD12-BD14,0)</f>
        <v>1503398.9499875775</v>
      </c>
      <c r="BE16" s="64">
        <f>IF(AND(Assumptions!$B$67=1,BE4&gt;=Assumptions!$B$68,BE4&lt;=Assumptions!$B$68+Assumptions!$B$60),BE12-BE14,0)</f>
        <v>1501730.5287537207</v>
      </c>
      <c r="BF16" s="64">
        <f>IF(AND(Assumptions!$B$67=1,BF4&gt;=Assumptions!$B$68,BF4&lt;=Assumptions!$B$68+Assumptions!$B$60),BF12-BF14,0)</f>
        <v>1500053.7654136945</v>
      </c>
      <c r="BG16" s="64">
        <f>IF(AND(Assumptions!$B$67=1,BG4&gt;=Assumptions!$B$68,BG4&lt;=Assumptions!$B$68+Assumptions!$B$60),BG12-BG14,0)</f>
        <v>1498368.6182569684</v>
      </c>
      <c r="BH16" s="64">
        <f>IF(AND(Assumptions!$B$67=1,BH4&gt;=Assumptions!$B$68,BH4&lt;=Assumptions!$B$68+Assumptions!$B$60),BH12-BH14,0)</f>
        <v>1496675.0453644586</v>
      </c>
      <c r="BI16" s="64">
        <f>IF(AND(Assumptions!$B$67=1,BI4&gt;=Assumptions!$B$68,BI4&lt;=Assumptions!$B$68+Assumptions!$B$60),BI12-BI14,0)</f>
        <v>1494973.0046074863</v>
      </c>
      <c r="BJ16" s="64">
        <f>IF(AND(Assumptions!$B$67=1,BJ4&gt;=Assumptions!$B$68,BJ4&lt;=Assumptions!$B$68+Assumptions!$B$60),BJ12-BJ14,0)</f>
        <v>1493262.453646729</v>
      </c>
      <c r="BK16" s="64">
        <f>IF(AND(Assumptions!$B$67=1,BK4&gt;=Assumptions!$B$68,BK4&lt;=Assumptions!$B$68+Assumptions!$B$60),BK12-BK14,0)</f>
        <v>1491543.3499311679</v>
      </c>
      <c r="BL16" s="64">
        <f>IF(AND(Assumptions!$B$67=1,BL4&gt;=Assumptions!$B$68,BL4&lt;=Assumptions!$B$68+Assumptions!$B$60),BL12-BL14,0)</f>
        <v>1489815.650697029</v>
      </c>
      <c r="BM16" s="64">
        <f>IF(AND(Assumptions!$B$67=1,BM4&gt;=Assumptions!$B$68,BM4&lt;=Assumptions!$B$68+Assumptions!$B$60),BM12-BM14,0)</f>
        <v>1488079.3129667195</v>
      </c>
      <c r="BN16" s="64">
        <f>IF(AND(Assumptions!$B$67=1,BN4&gt;=Assumptions!$B$68,BN4&lt;=Assumptions!$B$68+Assumptions!$B$60),BN12-BN14,0)</f>
        <v>1486334.2935477584</v>
      </c>
      <c r="BO16" s="64">
        <f>IF(AND(Assumptions!$B$67=1,BO4&gt;=Assumptions!$B$68,BO4&lt;=Assumptions!$B$68+Assumptions!$B$60),BO12-BO14,0)</f>
        <v>1484580.5490317026</v>
      </c>
      <c r="BP16" s="64">
        <f>IF(AND(Assumptions!$B$67=1,BP4&gt;=Assumptions!$B$68,BP4&lt;=Assumptions!$B$68+Assumptions!$B$60),BP12-BP14,0)</f>
        <v>1482818.0357930665</v>
      </c>
      <c r="BQ16" s="64">
        <f>IF(AND(Assumptions!$B$67=1,BQ4&gt;=Assumptions!$B$68,BQ4&lt;=Assumptions!$B$68+Assumptions!$B$60),BQ12-BQ14,0)</f>
        <v>1481046.7099882371</v>
      </c>
      <c r="BR16" s="64">
        <f>IF(AND(Assumptions!$B$67=1,BR4&gt;=Assumptions!$B$68,BR4&lt;=Assumptions!$B$68+Assumptions!$B$60),BR12-BR14,0)</f>
        <v>1479266.5275543837</v>
      </c>
      <c r="BS16" s="64">
        <f>IF(AND(Assumptions!$B$67=1,BS4&gt;=Assumptions!$B$68,BS4&lt;=Assumptions!$B$68+Assumptions!$B$60),BS12-BS14,0)</f>
        <v>1477477.444208361</v>
      </c>
      <c r="BT16" s="64">
        <f>IF(AND(Assumptions!$B$67=1,BT4&gt;=Assumptions!$B$68,BT4&lt;=Assumptions!$B$68+Assumptions!$B$60),BT12-BT14,0)</f>
        <v>1475679.4154456081</v>
      </c>
      <c r="BU16" s="64">
        <f>IF(AND(Assumptions!$B$67=1,BU4&gt;=Assumptions!$B$68,BU4&lt;=Assumptions!$B$68+Assumptions!$B$60),BU12-BU14,0)</f>
        <v>1473872.3965390415</v>
      </c>
      <c r="BV16" s="64">
        <f>IF(AND(Assumptions!$B$67=1,BV4&gt;=Assumptions!$B$68,BV4&lt;=Assumptions!$B$68+Assumptions!$B$60),BV12-BV14,0)</f>
        <v>1472056.3425379421</v>
      </c>
      <c r="BW16" s="64">
        <f>IF(AND(Assumptions!$B$67=1,BW4&gt;=Assumptions!$B$68,BW4&lt;=Assumptions!$B$68+Assumptions!$B$60),BW12-BW14,0)</f>
        <v>1470231.2082668371</v>
      </c>
      <c r="BX16" s="64">
        <f>IF(AND(Assumptions!$B$67=1,BX4&gt;=Assumptions!$B$68,BX4&lt;=Assumptions!$B$68+Assumptions!$B$60),BX12-BX14,0)</f>
        <v>1468396.9483243765</v>
      </c>
      <c r="BY16" s="64">
        <f>IF(AND(Assumptions!$B$67=1,BY4&gt;=Assumptions!$B$68,BY4&lt;=Assumptions!$B$68+Assumptions!$B$60),BY12-BY14,0)</f>
        <v>1466553.5170822036</v>
      </c>
      <c r="BZ16" s="64">
        <f>IF(AND(Assumptions!$B$67=1,BZ4&gt;=Assumptions!$B$68,BZ4&lt;=Assumptions!$B$68+Assumptions!$B$60),BZ12-BZ14,0)</f>
        <v>1464700.8686838199</v>
      </c>
      <c r="CA16" s="64">
        <f>IF(AND(Assumptions!$B$67=1,CA4&gt;=Assumptions!$B$68,CA4&lt;=Assumptions!$B$68+Assumptions!$B$60),CA12-CA14,0)</f>
        <v>1462838.9570434443</v>
      </c>
      <c r="CB16" s="64">
        <f>IF(AND(Assumptions!$B$67=1,CB4&gt;=Assumptions!$B$68,CB4&lt;=Assumptions!$B$68+Assumptions!$B$60),CB12-CB14,0)</f>
        <v>1460967.7358448668</v>
      </c>
      <c r="CC16" s="64">
        <f>IF(AND(Assumptions!$B$67=1,CC4&gt;=Assumptions!$B$68,CC4&lt;=Assumptions!$B$68+Assumptions!$B$60),CC12-CC14,0)</f>
        <v>1459087.1585402966</v>
      </c>
      <c r="CD16" s="64">
        <f>IF(AND(Assumptions!$B$67=1,CD4&gt;=Assumptions!$B$68,CD4&lt;=Assumptions!$B$68+Assumptions!$B$60),CD12-CD14,0)</f>
        <v>1457197.1783492034</v>
      </c>
      <c r="CE16" s="64">
        <f>IF(AND(Assumptions!$B$67=1,CE4&gt;=Assumptions!$B$68,CE4&lt;=Assumptions!$B$68+Assumptions!$B$60),CE12-CE14,0)</f>
        <v>1455297.7482571548</v>
      </c>
      <c r="CF16" s="64">
        <f>IF(AND(Assumptions!$B$67=1,CF4&gt;=Assumptions!$B$68,CF4&lt;=Assumptions!$B$68+Assumptions!$B$60),CF12-CF14,0)</f>
        <v>1453388.821014646</v>
      </c>
      <c r="CG16" s="64">
        <f>IF(AND(Assumptions!$B$67=1,CG4&gt;=Assumptions!$B$68,CG4&lt;=Assumptions!$B$68+Assumptions!$B$60),CG12-CG14,0)</f>
        <v>1451470.3491359246</v>
      </c>
      <c r="CH16" s="64">
        <f>IF(AND(Assumptions!$B$67=1,CH4&gt;=Assumptions!$B$68,CH4&lt;=Assumptions!$B$68+Assumptions!$B$60),CH12-CH14,0)</f>
        <v>1449542.2848978096</v>
      </c>
      <c r="CI16" s="64">
        <f>IF(AND(Assumptions!$B$67=1,CI4&gt;=Assumptions!$B$68,CI4&lt;=Assumptions!$B$68+Assumptions!$B$60),CI12-CI14,0)</f>
        <v>1447604.5803385039</v>
      </c>
      <c r="CJ16" s="64">
        <f>IF(AND(Assumptions!$B$67=1,CJ4&gt;=Assumptions!$B$68,CJ4&lt;=Assumptions!$B$68+Assumptions!$B$60),CJ12-CJ14,0)</f>
        <v>1445657.1872564019</v>
      </c>
      <c r="CK16" s="64">
        <f>IF(AND(Assumptions!$B$67=1,CK4&gt;=Assumptions!$B$68,CK4&lt;=Assumptions!$B$68+Assumptions!$B$60),CK12-CK14,0)</f>
        <v>1443700.0572088892</v>
      </c>
      <c r="CL16" s="64">
        <f>IF(AND(Assumptions!$B$67=1,CL4&gt;=Assumptions!$B$68,CL4&lt;=Assumptions!$B$68+Assumptions!$B$60),CL12-CL14,0)</f>
        <v>1441733.141511139</v>
      </c>
      <c r="CM16" s="64">
        <f>IF(AND(Assumptions!$B$67=1,CM4&gt;=Assumptions!$B$68,CM4&lt;=Assumptions!$B$68+Assumptions!$B$60),CM12-CM14,0)</f>
        <v>1439756.3912349001</v>
      </c>
      <c r="CN16" s="64">
        <f>IF(AND(Assumptions!$B$67=1,CN4&gt;=Assumptions!$B$68,CN4&lt;=Assumptions!$B$68+Assumptions!$B$60),CN12-CN14,0)</f>
        <v>1437769.75720728</v>
      </c>
      <c r="CO16" s="64">
        <f>IF(AND(Assumptions!$B$67=1,CO4&gt;=Assumptions!$B$68,CO4&lt;=Assumptions!$B$68+Assumptions!$B$60),CO12-CO14,0)</f>
        <v>1435773.1900095218</v>
      </c>
      <c r="CP16" s="64">
        <f>IF(AND(Assumptions!$B$67=1,CP4&gt;=Assumptions!$B$68,CP4&lt;=Assumptions!$B$68+Assumptions!$B$60),CP12-CP14,0)</f>
        <v>1433766.6399757748</v>
      </c>
      <c r="CQ16" s="64">
        <f>IF(AND(Assumptions!$B$67=1,CQ4&gt;=Assumptions!$B$68,CQ4&lt;=Assumptions!$B$68+Assumptions!$B$60),CQ12-CQ14,0)</f>
        <v>1431750.057191859</v>
      </c>
      <c r="CR16" s="64">
        <f>IF(AND(Assumptions!$B$67=1,CR4&gt;=Assumptions!$B$68,CR4&lt;=Assumptions!$B$68+Assumptions!$B$60),CR12-CR14,0)</f>
        <v>1429723.3914940236</v>
      </c>
      <c r="CS16" s="64">
        <f>IF(AND(Assumptions!$B$67=1,CS4&gt;=Assumptions!$B$68,CS4&lt;=Assumptions!$B$68+Assumptions!$B$60),CS12-CS14,0)</f>
        <v>1427686.592467699</v>
      </c>
      <c r="CT16" s="64">
        <f>IF(AND(Assumptions!$B$67=1,CT4&gt;=Assumptions!$B$68,CT4&lt;=Assumptions!$B$68+Assumptions!$B$60),CT12-CT14,0)</f>
        <v>1425639.6094462427</v>
      </c>
      <c r="CU16" s="64">
        <f>IF(AND(Assumptions!$B$67=1,CU4&gt;=Assumptions!$B$68,CU4&lt;=Assumptions!$B$68+Assumptions!$B$60),CU12-CU14,0)</f>
        <v>1423582.3915096791</v>
      </c>
      <c r="CV16" s="64">
        <f>IF(AND(Assumptions!$B$67=1,CV4&gt;=Assumptions!$B$68,CV4&lt;=Assumptions!$B$68+Assumptions!$B$60),CV12-CV14,0)</f>
        <v>1421514.8874834329</v>
      </c>
      <c r="CW16" s="64">
        <f>IF(AND(Assumptions!$B$67=1,CW4&gt;=Assumptions!$B$68,CW4&lt;=Assumptions!$B$68+Assumptions!$B$60),CW12-CW14,0)</f>
        <v>1419437.0459370555</v>
      </c>
      <c r="CX16" s="64">
        <f>IF(AND(Assumptions!$B$67=1,CX4&gt;=Assumptions!$B$68,CX4&lt;=Assumptions!$B$68+Assumptions!$B$60),CX12-CX14,0)</f>
        <v>1417348.8151829462</v>
      </c>
      <c r="CY16" s="64">
        <f>IF(AND(Assumptions!$B$67=1,CY4&gt;=Assumptions!$B$68,CY4&lt;=Assumptions!$B$68+Assumptions!$B$60),CY12-CY14,0)</f>
        <v>1415250.1432750663</v>
      </c>
      <c r="CZ16" s="64">
        <f>IF(AND(Assumptions!$B$67=1,CZ4&gt;=Assumptions!$B$68,CZ4&lt;=Assumptions!$B$68+Assumptions!$B$60),CZ12-CZ14,0)</f>
        <v>1413140.978007647</v>
      </c>
      <c r="DA16" s="64">
        <f>IF(AND(Assumptions!$B$67=1,DA4&gt;=Assumptions!$B$68,DA4&lt;=Assumptions!$B$68+Assumptions!$B$60),DA12-DA14,0)</f>
        <v>1411021.2669138906</v>
      </c>
      <c r="DB16" s="64">
        <f>IF(AND(Assumptions!$B$67=1,DB4&gt;=Assumptions!$B$68,DB4&lt;=Assumptions!$B$68+Assumptions!$B$60),DB12-DB14,0)</f>
        <v>1408890.9572646653</v>
      </c>
      <c r="DC16" s="64">
        <f>IF(AND(Assumptions!$B$67=1,DC4&gt;=Assumptions!$B$68,DC4&lt;=Assumptions!$B$68+Assumptions!$B$60),DC12-DC14,0)</f>
        <v>1406749.996067194</v>
      </c>
      <c r="DD16" s="64">
        <f>IF(AND(Assumptions!$B$67=1,DD4&gt;=Assumptions!$B$68,DD4&lt;=Assumptions!$B$68+Assumptions!$B$60),DD12-DD14,0)</f>
        <v>1404598.3300637354</v>
      </c>
      <c r="DE16" s="64">
        <f>IF(AND(Assumptions!$B$67=1,DE4&gt;=Assumptions!$B$68,DE4&lt;=Assumptions!$B$68+Assumptions!$B$60),DE12-DE14,0)</f>
        <v>1402435.9057302594</v>
      </c>
      <c r="DF16" s="64">
        <f>IF(AND(Assumptions!$B$67=1,DF4&gt;=Assumptions!$B$68,DF4&lt;=Assumptions!$B$68+Assumptions!$B$60),DF12-DF14,0)</f>
        <v>1400262.6692751159</v>
      </c>
      <c r="DG16" s="64">
        <f>IF(AND(Assumptions!$B$67=1,DG4&gt;=Assumptions!$B$68,DG4&lt;=Assumptions!$B$68+Assumptions!$B$60),DG12-DG14,0)</f>
        <v>1398078.5666376969</v>
      </c>
      <c r="DH16" s="64">
        <f>IF(AND(Assumptions!$B$67=1,DH4&gt;=Assumptions!$B$68,DH4&lt;=Assumptions!$B$68+Assumptions!$B$60),DH12-DH14,0)</f>
        <v>1395883.5434870909</v>
      </c>
      <c r="DI16" s="64">
        <f>IF(AND(Assumptions!$B$67=1,DI4&gt;=Assumptions!$B$68,DI4&lt;=Assumptions!$B$68+Assumptions!$B$60),DI12-DI14,0)</f>
        <v>1393677.5452207315</v>
      </c>
      <c r="DJ16" s="64">
        <f>IF(AND(Assumptions!$B$67=1,DJ4&gt;=Assumptions!$B$68,DJ4&lt;=Assumptions!$B$68+Assumptions!$B$60),DJ12-DJ14,0)</f>
        <v>1391460.5169630405</v>
      </c>
      <c r="DK16" s="64">
        <f>IF(AND(Assumptions!$B$67=1,DK4&gt;=Assumptions!$B$68,DK4&lt;=Assumptions!$B$68+Assumptions!$B$60),DK12-DK14,0)</f>
        <v>1389232.403564061</v>
      </c>
      <c r="DL16" s="64">
        <f>IF(AND(Assumptions!$B$67=1,DL4&gt;=Assumptions!$B$68,DL4&lt;=Assumptions!$B$68+Assumptions!$B$60),DL12-DL14,0)</f>
        <v>1386993.1495980867</v>
      </c>
      <c r="DM16" s="64">
        <f>IF(AND(Assumptions!$B$67=1,DM4&gt;=Assumptions!$B$68,DM4&lt;=Assumptions!$B$68+Assumptions!$B$60),DM12-DM14,0)</f>
        <v>1384742.6993622824</v>
      </c>
      <c r="DN16" s="64">
        <f>IF(AND(Assumptions!$B$67=1,DN4&gt;=Assumptions!$B$68,DN4&lt;=Assumptions!$B$68+Assumptions!$B$60),DN12-DN14,0)</f>
        <v>1382480.9968752991</v>
      </c>
      <c r="DO16" s="64">
        <f>IF(AND(Assumptions!$B$67=1,DO4&gt;=Assumptions!$B$68,DO4&lt;=Assumptions!$B$68+Assumptions!$B$60),DO12-DO14,0)</f>
        <v>1380207.985875881</v>
      </c>
      <c r="DP16" s="64">
        <f>IF(AND(Assumptions!$B$67=1,DP4&gt;=Assumptions!$B$68,DP4&lt;=Assumptions!$B$68+Assumptions!$B$60),DP12-DP14,0)</f>
        <v>1377923.6098214658</v>
      </c>
      <c r="DQ16" s="64">
        <f>IF(AND(Assumptions!$B$67=1,DQ4&gt;=Assumptions!$B$68,DQ4&lt;=Assumptions!$B$68+Assumptions!$B$60),DQ12-DQ14,0)</f>
        <v>1375627.8118867786</v>
      </c>
      <c r="DR16" s="64">
        <f>IF(AND(Assumptions!$B$67=1,DR4&gt;=Assumptions!$B$68,DR4&lt;=Assumptions!$B$68+Assumptions!$B$60),DR12-DR14,0)</f>
        <v>1373320.5349624178</v>
      </c>
      <c r="DS16" s="64">
        <f>IF(AND(Assumptions!$B$67=1,DS4&gt;=Assumptions!$B$68,DS4&lt;=Assumptions!$B$68+Assumptions!$B$60),DS12-DS14,0)</f>
        <v>1371001.7216534351</v>
      </c>
    </row>
    <row r="17" spans="1:123" x14ac:dyDescent="0.25">
      <c r="A17" s="74" t="s">
        <v>339</v>
      </c>
    </row>
    <row r="18" spans="1:123" x14ac:dyDescent="0.25">
      <c r="A18" s="14" t="s">
        <v>340</v>
      </c>
      <c r="D18" s="67">
        <f t="shared" ref="D18:AI18" si="12">D9+D15</f>
        <v>4929.166666666667</v>
      </c>
      <c r="E18" s="67">
        <f t="shared" si="12"/>
        <v>4929.166666666667</v>
      </c>
      <c r="F18" s="67">
        <f t="shared" si="12"/>
        <v>4929.166666666667</v>
      </c>
      <c r="G18" s="67">
        <f t="shared" si="12"/>
        <v>4929.166666666667</v>
      </c>
      <c r="H18" s="67">
        <f t="shared" si="12"/>
        <v>4929.166666666667</v>
      </c>
      <c r="I18" s="67">
        <f t="shared" si="12"/>
        <v>4929.166666666667</v>
      </c>
      <c r="J18" s="67">
        <f t="shared" si="12"/>
        <v>4929.166666666667</v>
      </c>
      <c r="K18" s="67">
        <f t="shared" si="12"/>
        <v>4929.166666666667</v>
      </c>
      <c r="L18" s="67">
        <f t="shared" si="12"/>
        <v>4929.166666666667</v>
      </c>
      <c r="M18" s="67">
        <f t="shared" si="12"/>
        <v>4929.166666666667</v>
      </c>
      <c r="N18" s="67">
        <f t="shared" si="12"/>
        <v>4929.166666666667</v>
      </c>
      <c r="O18" s="67">
        <f t="shared" si="12"/>
        <v>4929.166666666667</v>
      </c>
      <c r="P18" s="67">
        <f t="shared" si="12"/>
        <v>4929.166666666667</v>
      </c>
      <c r="Q18" s="67">
        <f t="shared" si="12"/>
        <v>4929.166666666667</v>
      </c>
      <c r="R18" s="67">
        <f t="shared" si="12"/>
        <v>4929.166666666667</v>
      </c>
      <c r="S18" s="67">
        <f t="shared" si="12"/>
        <v>4929.166666666667</v>
      </c>
      <c r="T18" s="67">
        <f t="shared" si="12"/>
        <v>4929.166666666667</v>
      </c>
      <c r="U18" s="67">
        <f t="shared" si="12"/>
        <v>4929.166666666667</v>
      </c>
      <c r="V18" s="67">
        <f t="shared" si="12"/>
        <v>4929.166666666667</v>
      </c>
      <c r="W18" s="67">
        <f t="shared" si="12"/>
        <v>4929.166666666667</v>
      </c>
      <c r="X18" s="67">
        <f t="shared" si="12"/>
        <v>4929.166666666667</v>
      </c>
      <c r="Y18" s="67">
        <f t="shared" si="12"/>
        <v>4929.166666666667</v>
      </c>
      <c r="Z18" s="67">
        <f t="shared" si="12"/>
        <v>4929.166666666667</v>
      </c>
      <c r="AA18" s="67">
        <f t="shared" si="12"/>
        <v>4929.166666666667</v>
      </c>
      <c r="AB18" s="67">
        <f t="shared" si="12"/>
        <v>5751.8190137859701</v>
      </c>
      <c r="AC18" s="67">
        <f t="shared" si="12"/>
        <v>5751.8190137859701</v>
      </c>
      <c r="AD18" s="67">
        <f t="shared" si="12"/>
        <v>5751.8190137859701</v>
      </c>
      <c r="AE18" s="67">
        <f t="shared" si="12"/>
        <v>5751.8190137859701</v>
      </c>
      <c r="AF18" s="67">
        <f t="shared" si="12"/>
        <v>5751.8190137859701</v>
      </c>
      <c r="AG18" s="67">
        <f t="shared" si="12"/>
        <v>5751.8190137859701</v>
      </c>
      <c r="AH18" s="67">
        <f t="shared" si="12"/>
        <v>5751.8190137859701</v>
      </c>
      <c r="AI18" s="67">
        <f t="shared" si="12"/>
        <v>5751.8190137859701</v>
      </c>
      <c r="AJ18" s="67">
        <f t="shared" ref="AJ18:BO18" si="13">AJ9+AJ15</f>
        <v>5751.8190137859701</v>
      </c>
      <c r="AK18" s="67">
        <f t="shared" si="13"/>
        <v>5751.8190137859701</v>
      </c>
      <c r="AL18" s="67">
        <f t="shared" si="13"/>
        <v>5751.8190137859701</v>
      </c>
      <c r="AM18" s="67">
        <f t="shared" si="13"/>
        <v>9185.41598379467</v>
      </c>
      <c r="AN18" s="67">
        <f t="shared" si="13"/>
        <v>9185.41598379467</v>
      </c>
      <c r="AO18" s="67">
        <f t="shared" si="13"/>
        <v>9185.41598379467</v>
      </c>
      <c r="AP18" s="67">
        <f t="shared" si="13"/>
        <v>9185.41598379467</v>
      </c>
      <c r="AQ18" s="67">
        <f t="shared" si="13"/>
        <v>9185.41598379467</v>
      </c>
      <c r="AR18" s="67">
        <f t="shared" si="13"/>
        <v>9185.41598379467</v>
      </c>
      <c r="AS18" s="67">
        <f t="shared" si="13"/>
        <v>9185.41598379467</v>
      </c>
      <c r="AT18" s="67">
        <f t="shared" si="13"/>
        <v>9185.41598379467</v>
      </c>
      <c r="AU18" s="67">
        <f t="shared" si="13"/>
        <v>9185.41598379467</v>
      </c>
      <c r="AV18" s="67">
        <f t="shared" si="13"/>
        <v>9185.41598379467</v>
      </c>
      <c r="AW18" s="67">
        <f t="shared" si="13"/>
        <v>9185.41598379467</v>
      </c>
      <c r="AX18" s="67">
        <f t="shared" si="13"/>
        <v>9185.41598379467</v>
      </c>
      <c r="AY18" s="67">
        <f t="shared" si="13"/>
        <v>9185.41598379467</v>
      </c>
      <c r="AZ18" s="67">
        <f t="shared" si="13"/>
        <v>9185.41598379467</v>
      </c>
      <c r="BA18" s="67">
        <f t="shared" si="13"/>
        <v>9185.41598379467</v>
      </c>
      <c r="BB18" s="67">
        <f t="shared" si="13"/>
        <v>9185.41598379467</v>
      </c>
      <c r="BC18" s="67">
        <f t="shared" si="13"/>
        <v>9185.41598379467</v>
      </c>
      <c r="BD18" s="67">
        <f t="shared" si="13"/>
        <v>9185.41598379467</v>
      </c>
      <c r="BE18" s="67">
        <f t="shared" si="13"/>
        <v>9185.41598379467</v>
      </c>
      <c r="BF18" s="67">
        <f t="shared" si="13"/>
        <v>9185.41598379467</v>
      </c>
      <c r="BG18" s="67">
        <f t="shared" si="13"/>
        <v>9185.41598379467</v>
      </c>
      <c r="BH18" s="67">
        <f t="shared" si="13"/>
        <v>9185.41598379467</v>
      </c>
      <c r="BI18" s="67">
        <f t="shared" si="13"/>
        <v>9185.41598379467</v>
      </c>
      <c r="BJ18" s="67">
        <f t="shared" si="13"/>
        <v>9185.41598379467</v>
      </c>
      <c r="BK18" s="67">
        <f t="shared" si="13"/>
        <v>9185.41598379467</v>
      </c>
      <c r="BL18" s="67">
        <f t="shared" si="13"/>
        <v>9185.41598379467</v>
      </c>
      <c r="BM18" s="67">
        <f t="shared" si="13"/>
        <v>9185.41598379467</v>
      </c>
      <c r="BN18" s="67">
        <f t="shared" si="13"/>
        <v>9185.41598379467</v>
      </c>
      <c r="BO18" s="67">
        <f t="shared" si="13"/>
        <v>9185.41598379467</v>
      </c>
      <c r="BP18" s="67">
        <f t="shared" ref="BP18:CU18" si="14">BP9+BP15</f>
        <v>9185.41598379467</v>
      </c>
      <c r="BQ18" s="67">
        <f t="shared" si="14"/>
        <v>9185.41598379467</v>
      </c>
      <c r="BR18" s="67">
        <f t="shared" si="14"/>
        <v>9185.41598379467</v>
      </c>
      <c r="BS18" s="67">
        <f t="shared" si="14"/>
        <v>9185.41598379467</v>
      </c>
      <c r="BT18" s="67">
        <f t="shared" si="14"/>
        <v>9185.41598379467</v>
      </c>
      <c r="BU18" s="67">
        <f t="shared" si="14"/>
        <v>9185.41598379467</v>
      </c>
      <c r="BV18" s="67">
        <f t="shared" si="14"/>
        <v>9185.41598379467</v>
      </c>
      <c r="BW18" s="67">
        <f t="shared" si="14"/>
        <v>9185.41598379467</v>
      </c>
      <c r="BX18" s="67">
        <f t="shared" si="14"/>
        <v>9185.41598379467</v>
      </c>
      <c r="BY18" s="67">
        <f t="shared" si="14"/>
        <v>9185.41598379467</v>
      </c>
      <c r="BZ18" s="67">
        <f t="shared" si="14"/>
        <v>9185.41598379467</v>
      </c>
      <c r="CA18" s="67">
        <f t="shared" si="14"/>
        <v>9185.41598379467</v>
      </c>
      <c r="CB18" s="67">
        <f t="shared" si="14"/>
        <v>9185.41598379467</v>
      </c>
      <c r="CC18" s="67">
        <f t="shared" si="14"/>
        <v>9185.41598379467</v>
      </c>
      <c r="CD18" s="67">
        <f t="shared" si="14"/>
        <v>9185.41598379467</v>
      </c>
      <c r="CE18" s="67">
        <f t="shared" si="14"/>
        <v>9185.41598379467</v>
      </c>
      <c r="CF18" s="67">
        <f t="shared" si="14"/>
        <v>9185.41598379467</v>
      </c>
      <c r="CG18" s="67">
        <f t="shared" si="14"/>
        <v>9185.41598379467</v>
      </c>
      <c r="CH18" s="67">
        <f t="shared" si="14"/>
        <v>9185.41598379467</v>
      </c>
      <c r="CI18" s="67">
        <f t="shared" si="14"/>
        <v>9185.41598379467</v>
      </c>
      <c r="CJ18" s="67">
        <f t="shared" si="14"/>
        <v>9185.41598379467</v>
      </c>
      <c r="CK18" s="67">
        <f t="shared" si="14"/>
        <v>9185.41598379467</v>
      </c>
      <c r="CL18" s="67">
        <f t="shared" si="14"/>
        <v>9185.41598379467</v>
      </c>
      <c r="CM18" s="67">
        <f t="shared" si="14"/>
        <v>9185.41598379467</v>
      </c>
      <c r="CN18" s="67">
        <f t="shared" si="14"/>
        <v>9185.41598379467</v>
      </c>
      <c r="CO18" s="67">
        <f t="shared" si="14"/>
        <v>9185.41598379467</v>
      </c>
      <c r="CP18" s="67">
        <f t="shared" si="14"/>
        <v>9185.41598379467</v>
      </c>
      <c r="CQ18" s="67">
        <f t="shared" si="14"/>
        <v>9185.41598379467</v>
      </c>
      <c r="CR18" s="67">
        <f t="shared" si="14"/>
        <v>9185.41598379467</v>
      </c>
      <c r="CS18" s="67">
        <f t="shared" si="14"/>
        <v>9185.41598379467</v>
      </c>
      <c r="CT18" s="67">
        <f t="shared" si="14"/>
        <v>9185.41598379467</v>
      </c>
      <c r="CU18" s="67">
        <f t="shared" si="14"/>
        <v>9185.41598379467</v>
      </c>
      <c r="CV18" s="67">
        <f t="shared" ref="CV18:DS18" si="15">CV9+CV15</f>
        <v>9185.41598379467</v>
      </c>
      <c r="CW18" s="67">
        <f t="shared" si="15"/>
        <v>9185.41598379467</v>
      </c>
      <c r="CX18" s="67">
        <f t="shared" si="15"/>
        <v>9185.41598379467</v>
      </c>
      <c r="CY18" s="67">
        <f t="shared" si="15"/>
        <v>9185.41598379467</v>
      </c>
      <c r="CZ18" s="67">
        <f t="shared" si="15"/>
        <v>9185.41598379467</v>
      </c>
      <c r="DA18" s="67">
        <f t="shared" si="15"/>
        <v>9185.41598379467</v>
      </c>
      <c r="DB18" s="67">
        <f t="shared" si="15"/>
        <v>9185.41598379467</v>
      </c>
      <c r="DC18" s="67">
        <f t="shared" si="15"/>
        <v>9185.41598379467</v>
      </c>
      <c r="DD18" s="67">
        <f t="shared" si="15"/>
        <v>9185.41598379467</v>
      </c>
      <c r="DE18" s="67">
        <f t="shared" si="15"/>
        <v>9185.41598379467</v>
      </c>
      <c r="DF18" s="67">
        <f t="shared" si="15"/>
        <v>9185.41598379467</v>
      </c>
      <c r="DG18" s="67">
        <f t="shared" si="15"/>
        <v>9185.41598379467</v>
      </c>
      <c r="DH18" s="67">
        <f t="shared" si="15"/>
        <v>9185.41598379467</v>
      </c>
      <c r="DI18" s="67">
        <f t="shared" si="15"/>
        <v>9185.41598379467</v>
      </c>
      <c r="DJ18" s="67">
        <f t="shared" si="15"/>
        <v>9185.41598379467</v>
      </c>
      <c r="DK18" s="67">
        <f t="shared" si="15"/>
        <v>9185.41598379467</v>
      </c>
      <c r="DL18" s="67">
        <f t="shared" si="15"/>
        <v>9185.41598379467</v>
      </c>
      <c r="DM18" s="67">
        <f t="shared" si="15"/>
        <v>9185.41598379467</v>
      </c>
      <c r="DN18" s="67">
        <f t="shared" si="15"/>
        <v>9185.41598379467</v>
      </c>
      <c r="DO18" s="67">
        <f t="shared" si="15"/>
        <v>9185.41598379467</v>
      </c>
      <c r="DP18" s="67">
        <f t="shared" si="15"/>
        <v>9185.41598379467</v>
      </c>
      <c r="DQ18" s="67">
        <f t="shared" si="15"/>
        <v>9185.41598379467</v>
      </c>
      <c r="DR18" s="67">
        <f t="shared" si="15"/>
        <v>9185.41598379467</v>
      </c>
      <c r="DS18" s="67">
        <f t="shared" si="15"/>
        <v>9185.41598379467</v>
      </c>
    </row>
    <row r="19" spans="1:123" x14ac:dyDescent="0.25">
      <c r="A19" s="14" t="s">
        <v>341</v>
      </c>
      <c r="D19" s="67">
        <f>D10+D16</f>
        <v>910000</v>
      </c>
      <c r="E19" s="67">
        <f t="shared" ref="E19:AI19" si="16">E10+E16</f>
        <v>910000</v>
      </c>
      <c r="F19" s="67">
        <f t="shared" si="16"/>
        <v>910000</v>
      </c>
      <c r="G19" s="67">
        <f t="shared" si="16"/>
        <v>910000</v>
      </c>
      <c r="H19" s="67">
        <f t="shared" si="16"/>
        <v>910000</v>
      </c>
      <c r="I19" s="67">
        <f t="shared" si="16"/>
        <v>910000</v>
      </c>
      <c r="J19" s="67">
        <f t="shared" si="16"/>
        <v>910000</v>
      </c>
      <c r="K19" s="67">
        <f t="shared" si="16"/>
        <v>910000</v>
      </c>
      <c r="L19" s="67">
        <f t="shared" si="16"/>
        <v>910000</v>
      </c>
      <c r="M19" s="67">
        <f t="shared" si="16"/>
        <v>910000</v>
      </c>
      <c r="N19" s="67">
        <f t="shared" si="16"/>
        <v>910000</v>
      </c>
      <c r="O19" s="67">
        <f t="shared" si="16"/>
        <v>910000</v>
      </c>
      <c r="P19" s="67">
        <f t="shared" si="16"/>
        <v>910000</v>
      </c>
      <c r="Q19" s="67">
        <f t="shared" si="16"/>
        <v>910000</v>
      </c>
      <c r="R19" s="67">
        <f t="shared" si="16"/>
        <v>910000</v>
      </c>
      <c r="S19" s="67">
        <f t="shared" si="16"/>
        <v>910000</v>
      </c>
      <c r="T19" s="67">
        <f t="shared" si="16"/>
        <v>910000</v>
      </c>
      <c r="U19" s="67">
        <f t="shared" si="16"/>
        <v>910000</v>
      </c>
      <c r="V19" s="67">
        <f t="shared" si="16"/>
        <v>910000</v>
      </c>
      <c r="W19" s="67">
        <f t="shared" si="16"/>
        <v>910000</v>
      </c>
      <c r="X19" s="67">
        <f t="shared" si="16"/>
        <v>910000</v>
      </c>
      <c r="Y19" s="67">
        <f t="shared" si="16"/>
        <v>910000</v>
      </c>
      <c r="Z19" s="67">
        <f t="shared" si="16"/>
        <v>910000</v>
      </c>
      <c r="AA19" s="67">
        <f t="shared" si="16"/>
        <v>910000</v>
      </c>
      <c r="AB19" s="67">
        <f t="shared" si="16"/>
        <v>909177.34765288071</v>
      </c>
      <c r="AC19" s="67">
        <f t="shared" si="16"/>
        <v>908350.23927221447</v>
      </c>
      <c r="AD19" s="67">
        <f t="shared" si="16"/>
        <v>907518.65072115301</v>
      </c>
      <c r="AE19" s="67">
        <f t="shared" si="16"/>
        <v>906682.55773210665</v>
      </c>
      <c r="AF19" s="67">
        <f t="shared" si="16"/>
        <v>905841.93590603629</v>
      </c>
      <c r="AG19" s="67">
        <f t="shared" si="16"/>
        <v>904996.7607117414</v>
      </c>
      <c r="AH19" s="67">
        <f t="shared" si="16"/>
        <v>904147.00748514407</v>
      </c>
      <c r="AI19" s="67">
        <f t="shared" si="16"/>
        <v>903292.65142856934</v>
      </c>
      <c r="AJ19" s="67">
        <f t="shared" ref="AJ19:BO19" si="17">AJ10+AJ16</f>
        <v>902433.66761002142</v>
      </c>
      <c r="AK19" s="67">
        <f t="shared" si="17"/>
        <v>901570.03096245637</v>
      </c>
      <c r="AL19" s="67">
        <f t="shared" si="17"/>
        <v>900701.71628305037</v>
      </c>
      <c r="AM19" s="67">
        <f t="shared" si="17"/>
        <v>1530525.1966224907</v>
      </c>
      <c r="AN19" s="67">
        <f t="shared" si="17"/>
        <v>1528992.4066218084</v>
      </c>
      <c r="AO19" s="67">
        <f t="shared" si="17"/>
        <v>1527451.9526711227</v>
      </c>
      <c r="AP19" s="67">
        <f t="shared" si="17"/>
        <v>1525903.7964506836</v>
      </c>
      <c r="AQ19" s="67">
        <f t="shared" si="17"/>
        <v>1524347.8994491424</v>
      </c>
      <c r="AR19" s="67">
        <f t="shared" si="17"/>
        <v>1522784.2229625934</v>
      </c>
      <c r="AS19" s="67">
        <f t="shared" si="17"/>
        <v>1521212.7280936118</v>
      </c>
      <c r="AT19" s="67">
        <f t="shared" si="17"/>
        <v>1519633.3757502851</v>
      </c>
      <c r="AU19" s="67">
        <f t="shared" si="17"/>
        <v>1518046.1266452419</v>
      </c>
      <c r="AV19" s="67">
        <f t="shared" si="17"/>
        <v>1516450.9412946734</v>
      </c>
      <c r="AW19" s="67">
        <f t="shared" si="17"/>
        <v>1514847.780017352</v>
      </c>
      <c r="AX19" s="67">
        <f t="shared" si="17"/>
        <v>1513236.6029336441</v>
      </c>
      <c r="AY19" s="67">
        <f t="shared" si="17"/>
        <v>1511617.3699645177</v>
      </c>
      <c r="AZ19" s="67">
        <f t="shared" si="17"/>
        <v>1509990.0408305456</v>
      </c>
      <c r="BA19" s="67">
        <f t="shared" si="17"/>
        <v>1508354.5750509037</v>
      </c>
      <c r="BB19" s="67">
        <f t="shared" si="17"/>
        <v>1506710.9319423635</v>
      </c>
      <c r="BC19" s="67">
        <f t="shared" si="17"/>
        <v>1505059.0706182807</v>
      </c>
      <c r="BD19" s="67">
        <f t="shared" si="17"/>
        <v>1503398.9499875775</v>
      </c>
      <c r="BE19" s="67">
        <f t="shared" si="17"/>
        <v>1501730.5287537207</v>
      </c>
      <c r="BF19" s="67">
        <f t="shared" si="17"/>
        <v>1500053.7654136945</v>
      </c>
      <c r="BG19" s="67">
        <f t="shared" si="17"/>
        <v>1498368.6182569684</v>
      </c>
      <c r="BH19" s="67">
        <f t="shared" si="17"/>
        <v>1496675.0453644586</v>
      </c>
      <c r="BI19" s="67">
        <f t="shared" si="17"/>
        <v>1494973.0046074863</v>
      </c>
      <c r="BJ19" s="67">
        <f t="shared" si="17"/>
        <v>1493262.453646729</v>
      </c>
      <c r="BK19" s="67">
        <f t="shared" si="17"/>
        <v>1491543.3499311679</v>
      </c>
      <c r="BL19" s="67">
        <f t="shared" si="17"/>
        <v>1489815.650697029</v>
      </c>
      <c r="BM19" s="67">
        <f t="shared" si="17"/>
        <v>1488079.3129667195</v>
      </c>
      <c r="BN19" s="67">
        <f t="shared" si="17"/>
        <v>1486334.2935477584</v>
      </c>
      <c r="BO19" s="67">
        <f t="shared" si="17"/>
        <v>1484580.5490317026</v>
      </c>
      <c r="BP19" s="67">
        <f t="shared" ref="BP19:CU19" si="18">BP10+BP16</f>
        <v>1482818.0357930665</v>
      </c>
      <c r="BQ19" s="67">
        <f t="shared" si="18"/>
        <v>1481046.7099882371</v>
      </c>
      <c r="BR19" s="67">
        <f t="shared" si="18"/>
        <v>1479266.5275543837</v>
      </c>
      <c r="BS19" s="67">
        <f t="shared" si="18"/>
        <v>1477477.444208361</v>
      </c>
      <c r="BT19" s="67">
        <f t="shared" si="18"/>
        <v>1475679.4154456081</v>
      </c>
      <c r="BU19" s="67">
        <f t="shared" si="18"/>
        <v>1473872.3965390415</v>
      </c>
      <c r="BV19" s="67">
        <f t="shared" si="18"/>
        <v>1472056.3425379421</v>
      </c>
      <c r="BW19" s="67">
        <f t="shared" si="18"/>
        <v>1470231.2082668371</v>
      </c>
      <c r="BX19" s="67">
        <f t="shared" si="18"/>
        <v>1468396.9483243765</v>
      </c>
      <c r="BY19" s="67">
        <f t="shared" si="18"/>
        <v>1466553.5170822036</v>
      </c>
      <c r="BZ19" s="67">
        <f t="shared" si="18"/>
        <v>1464700.8686838199</v>
      </c>
      <c r="CA19" s="67">
        <f t="shared" si="18"/>
        <v>1462838.9570434443</v>
      </c>
      <c r="CB19" s="67">
        <f t="shared" si="18"/>
        <v>1460967.7358448668</v>
      </c>
      <c r="CC19" s="67">
        <f t="shared" si="18"/>
        <v>1459087.1585402966</v>
      </c>
      <c r="CD19" s="67">
        <f t="shared" si="18"/>
        <v>1457197.1783492034</v>
      </c>
      <c r="CE19" s="67">
        <f t="shared" si="18"/>
        <v>1455297.7482571548</v>
      </c>
      <c r="CF19" s="67">
        <f t="shared" si="18"/>
        <v>1453388.821014646</v>
      </c>
      <c r="CG19" s="67">
        <f t="shared" si="18"/>
        <v>1451470.3491359246</v>
      </c>
      <c r="CH19" s="67">
        <f t="shared" si="18"/>
        <v>1449542.2848978096</v>
      </c>
      <c r="CI19" s="67">
        <f t="shared" si="18"/>
        <v>1447604.5803385039</v>
      </c>
      <c r="CJ19" s="67">
        <f t="shared" si="18"/>
        <v>1445657.1872564019</v>
      </c>
      <c r="CK19" s="67">
        <f t="shared" si="18"/>
        <v>1443700.0572088892</v>
      </c>
      <c r="CL19" s="67">
        <f t="shared" si="18"/>
        <v>1441733.141511139</v>
      </c>
      <c r="CM19" s="67">
        <f t="shared" si="18"/>
        <v>1439756.3912349001</v>
      </c>
      <c r="CN19" s="67">
        <f t="shared" si="18"/>
        <v>1437769.75720728</v>
      </c>
      <c r="CO19" s="67">
        <f t="shared" si="18"/>
        <v>1435773.1900095218</v>
      </c>
      <c r="CP19" s="67">
        <f t="shared" si="18"/>
        <v>1433766.6399757748</v>
      </c>
      <c r="CQ19" s="67">
        <f t="shared" si="18"/>
        <v>1431750.057191859</v>
      </c>
      <c r="CR19" s="67">
        <f t="shared" si="18"/>
        <v>1429723.3914940236</v>
      </c>
      <c r="CS19" s="67">
        <f t="shared" si="18"/>
        <v>1427686.592467699</v>
      </c>
      <c r="CT19" s="67">
        <f t="shared" si="18"/>
        <v>1425639.6094462427</v>
      </c>
      <c r="CU19" s="67">
        <f t="shared" si="18"/>
        <v>1423582.3915096791</v>
      </c>
      <c r="CV19" s="67">
        <f t="shared" ref="CV19:DS19" si="19">CV10+CV16</f>
        <v>1421514.8874834329</v>
      </c>
      <c r="CW19" s="67">
        <f t="shared" si="19"/>
        <v>1419437.0459370555</v>
      </c>
      <c r="CX19" s="67">
        <f t="shared" si="19"/>
        <v>1417348.8151829462</v>
      </c>
      <c r="CY19" s="67">
        <f t="shared" si="19"/>
        <v>1415250.1432750663</v>
      </c>
      <c r="CZ19" s="67">
        <f t="shared" si="19"/>
        <v>1413140.978007647</v>
      </c>
      <c r="DA19" s="67">
        <f t="shared" si="19"/>
        <v>1411021.2669138906</v>
      </c>
      <c r="DB19" s="67">
        <f t="shared" si="19"/>
        <v>1408890.9572646653</v>
      </c>
      <c r="DC19" s="67">
        <f t="shared" si="19"/>
        <v>1406749.996067194</v>
      </c>
      <c r="DD19" s="67">
        <f t="shared" si="19"/>
        <v>1404598.3300637354</v>
      </c>
      <c r="DE19" s="67">
        <f t="shared" si="19"/>
        <v>1402435.9057302594</v>
      </c>
      <c r="DF19" s="67">
        <f t="shared" si="19"/>
        <v>1400262.6692751159</v>
      </c>
      <c r="DG19" s="67">
        <f t="shared" si="19"/>
        <v>1398078.5666376969</v>
      </c>
      <c r="DH19" s="67">
        <f t="shared" si="19"/>
        <v>1395883.5434870909</v>
      </c>
      <c r="DI19" s="67">
        <f t="shared" si="19"/>
        <v>1393677.5452207315</v>
      </c>
      <c r="DJ19" s="67">
        <f t="shared" si="19"/>
        <v>1391460.5169630405</v>
      </c>
      <c r="DK19" s="67">
        <f t="shared" si="19"/>
        <v>1389232.403564061</v>
      </c>
      <c r="DL19" s="67">
        <f t="shared" si="19"/>
        <v>1386993.1495980867</v>
      </c>
      <c r="DM19" s="67">
        <f t="shared" si="19"/>
        <v>1384742.6993622824</v>
      </c>
      <c r="DN19" s="67">
        <f t="shared" si="19"/>
        <v>1382480.9968752991</v>
      </c>
      <c r="DO19" s="67">
        <f t="shared" si="19"/>
        <v>1380207.985875881</v>
      </c>
      <c r="DP19" s="67">
        <f t="shared" si="19"/>
        <v>1377923.6098214658</v>
      </c>
      <c r="DQ19" s="67">
        <f t="shared" si="19"/>
        <v>1375627.8118867786</v>
      </c>
      <c r="DR19" s="67">
        <f t="shared" si="19"/>
        <v>1373320.5349624178</v>
      </c>
      <c r="DS19" s="67">
        <f t="shared" si="19"/>
        <v>1371001.7216534351</v>
      </c>
    </row>
    <row r="20" spans="1:123" x14ac:dyDescent="0.25">
      <c r="A20" s="1" t="s">
        <v>342</v>
      </c>
      <c r="D20" s="75">
        <f>IFERROR('Monthly Operations'!D38/D18,0)</f>
        <v>1.1352829529444903</v>
      </c>
      <c r="E20" s="75">
        <f>IFERROR('Monthly Operations'!E38/E18,0)</f>
        <v>1.1908364046210198</v>
      </c>
      <c r="F20" s="75">
        <f>IFERROR('Monthly Operations'!F38/F18,0)</f>
        <v>1.2463898562975471</v>
      </c>
      <c r="G20" s="75">
        <f>IFERROR('Monthly Operations'!G38/G18,0)</f>
        <v>1.3019433079740774</v>
      </c>
      <c r="H20" s="75">
        <f>IFERROR('Monthly Operations'!H38/H18,0)</f>
        <v>1.3574967596506056</v>
      </c>
      <c r="I20" s="75">
        <f>IFERROR('Monthly Operations'!I38/I18,0)</f>
        <v>1.4130502113271335</v>
      </c>
      <c r="J20" s="75">
        <f>IFERROR('Monthly Operations'!J38/J18,0)</f>
        <v>1.4686036630036623</v>
      </c>
      <c r="K20" s="75">
        <f>IFERROR('Monthly Operations'!K38/K18,0)</f>
        <v>1.5241571146801918</v>
      </c>
      <c r="L20" s="75">
        <f>IFERROR('Monthly Operations'!L38/L18,0)</f>
        <v>1.5797105663567206</v>
      </c>
      <c r="M20" s="75">
        <f>IFERROR('Monthly Operations'!M38/M18,0)</f>
        <v>1.6352640180332481</v>
      </c>
      <c r="N20" s="75">
        <f>IFERROR('Monthly Operations'!N38/N18,0)</f>
        <v>1.6908174697097775</v>
      </c>
      <c r="O20" s="75">
        <f>IFERROR('Monthly Operations'!O38/O18,0)</f>
        <v>1.7463709213863057</v>
      </c>
      <c r="P20" s="75">
        <f>IFERROR('Monthly Operations'!P38/P18,0)</f>
        <v>1.8739939836573687</v>
      </c>
      <c r="Q20" s="75">
        <f>IFERROR('Monthly Operations'!Q38/Q18,0)</f>
        <v>1.9311994770357852</v>
      </c>
      <c r="R20" s="75">
        <f>IFERROR('Monthly Operations'!R38/R18,0)</f>
        <v>1.9884049704142022</v>
      </c>
      <c r="S20" s="75">
        <f>IFERROR('Monthly Operations'!S38/S18,0)</f>
        <v>2.0456104637926193</v>
      </c>
      <c r="T20" s="75">
        <f>IFERROR('Monthly Operations'!T38/T18,0)</f>
        <v>2.1028159571710341</v>
      </c>
      <c r="U20" s="75">
        <f>IFERROR('Monthly Operations'!U38/U18,0)</f>
        <v>2.160021450549451</v>
      </c>
      <c r="V20" s="75">
        <f>IFERROR('Monthly Operations'!V38/V18,0)</f>
        <v>2.160021450549451</v>
      </c>
      <c r="W20" s="75">
        <f>IFERROR('Monthly Operations'!W38/W18,0)</f>
        <v>2.160021450549451</v>
      </c>
      <c r="X20" s="75">
        <f>IFERROR('Monthly Operations'!X38/X18,0)</f>
        <v>2.160021450549451</v>
      </c>
      <c r="Y20" s="75">
        <f>IFERROR('Monthly Operations'!Y38/Y18,0)</f>
        <v>2.160021450549451</v>
      </c>
      <c r="Z20" s="75">
        <f>IFERROR('Monthly Operations'!Z38/Z18,0)</f>
        <v>2.160021450549451</v>
      </c>
      <c r="AA20" s="75">
        <f>IFERROR('Monthly Operations'!AA38/AA18,0)</f>
        <v>2.160021450549451</v>
      </c>
      <c r="AB20" s="75">
        <f>IFERROR('Monthly Operations'!AB38/AB18,0)</f>
        <v>1.9223751933370754</v>
      </c>
      <c r="AC20" s="75">
        <f>IFERROR('Monthly Operations'!AC38/AC18,0)</f>
        <v>1.9223751933370754</v>
      </c>
      <c r="AD20" s="75">
        <f>IFERROR('Monthly Operations'!AD38/AD18,0)</f>
        <v>1.9223751933370754</v>
      </c>
      <c r="AE20" s="75">
        <f>IFERROR('Monthly Operations'!AE38/AE18,0)</f>
        <v>1.9223751933370754</v>
      </c>
      <c r="AF20" s="75">
        <f>IFERROR('Monthly Operations'!AF38/AF18,0)</f>
        <v>1.9223751933370754</v>
      </c>
      <c r="AG20" s="75">
        <f>IFERROR('Monthly Operations'!AG38/AG18,0)</f>
        <v>1.9223751933370754</v>
      </c>
      <c r="AH20" s="75">
        <f>IFERROR('Monthly Operations'!AH38/AH18,0)</f>
        <v>1.9223751933370754</v>
      </c>
      <c r="AI20" s="75">
        <f>IFERROR('Monthly Operations'!AI38/AI18,0)</f>
        <v>1.9223751933370754</v>
      </c>
      <c r="AJ20" s="75">
        <f>IFERROR('Monthly Operations'!AJ38/AJ18,0)</f>
        <v>1.9223751933370754</v>
      </c>
      <c r="AK20" s="75">
        <f>IFERROR('Monthly Operations'!AK38/AK18,0)</f>
        <v>1.9223751933370754</v>
      </c>
      <c r="AL20" s="75">
        <f>IFERROR('Monthly Operations'!AL38/AL18,0)</f>
        <v>1.9223751933370754</v>
      </c>
      <c r="AM20" s="75">
        <f>IFERROR('Monthly Operations'!AM38/AM18,0)</f>
        <v>1.2037728294694772</v>
      </c>
      <c r="AN20" s="75">
        <f>IFERROR('Monthly Operations'!AN38/AN18,0)</f>
        <v>1.25</v>
      </c>
      <c r="AO20" s="75">
        <f>IFERROR('Monthly Operations'!AO38/AO18,0)</f>
        <v>1.25</v>
      </c>
      <c r="AP20" s="75">
        <f>IFERROR('Monthly Operations'!AP38/AP18,0)</f>
        <v>1.25</v>
      </c>
      <c r="AQ20" s="75">
        <f>IFERROR('Monthly Operations'!AQ38/AQ18,0)</f>
        <v>1.25</v>
      </c>
      <c r="AR20" s="75">
        <f>IFERROR('Monthly Operations'!AR38/AR18,0)</f>
        <v>1.25</v>
      </c>
      <c r="AS20" s="75">
        <f>IFERROR('Monthly Operations'!AS38/AS18,0)</f>
        <v>1.25</v>
      </c>
      <c r="AT20" s="75">
        <f>IFERROR('Monthly Operations'!AT38/AT18,0)</f>
        <v>1.25</v>
      </c>
      <c r="AU20" s="75">
        <f>IFERROR('Monthly Operations'!AU38/AU18,0)</f>
        <v>1.25</v>
      </c>
      <c r="AV20" s="75">
        <f>IFERROR('Monthly Operations'!AV38/AV18,0)</f>
        <v>1.25</v>
      </c>
      <c r="AW20" s="75">
        <f>IFERROR('Monthly Operations'!AW38/AW18,0)</f>
        <v>1.25</v>
      </c>
      <c r="AX20" s="75">
        <f>IFERROR('Monthly Operations'!AX38/AX18,0)</f>
        <v>1.25</v>
      </c>
      <c r="AY20" s="75">
        <f>IFERROR('Monthly Operations'!AY38/AY18,0)</f>
        <v>1.25</v>
      </c>
      <c r="AZ20" s="75">
        <f>IFERROR('Monthly Operations'!AZ38/AZ18,0)</f>
        <v>1.2978668352875993</v>
      </c>
      <c r="BA20" s="75">
        <f>IFERROR('Monthly Operations'!BA38/BA18,0)</f>
        <v>1.2978668352875993</v>
      </c>
      <c r="BB20" s="75">
        <f>IFERROR('Monthly Operations'!BB38/BB18,0)</f>
        <v>1.2978668352875993</v>
      </c>
      <c r="BC20" s="75">
        <f>IFERROR('Monthly Operations'!BC38/BC18,0)</f>
        <v>1.2978668352875993</v>
      </c>
      <c r="BD20" s="75">
        <f>IFERROR('Monthly Operations'!BD38/BD18,0)</f>
        <v>1.2978668352875993</v>
      </c>
      <c r="BE20" s="75">
        <f>IFERROR('Monthly Operations'!BE38/BE18,0)</f>
        <v>1.2978668352875993</v>
      </c>
      <c r="BF20" s="75">
        <f>IFERROR('Monthly Operations'!BF38/BF18,0)</f>
        <v>1.2978668352875993</v>
      </c>
      <c r="BG20" s="75">
        <f>IFERROR('Monthly Operations'!BG38/BG18,0)</f>
        <v>1.2978668352875993</v>
      </c>
      <c r="BH20" s="75">
        <f>IFERROR('Monthly Operations'!BH38/BH18,0)</f>
        <v>1.2978668352875993</v>
      </c>
      <c r="BI20" s="75">
        <f>IFERROR('Monthly Operations'!BI38/BI18,0)</f>
        <v>1.2978668352875993</v>
      </c>
      <c r="BJ20" s="75">
        <f>IFERROR('Monthly Operations'!BJ38/BJ18,0)</f>
        <v>1.2978668352875993</v>
      </c>
      <c r="BK20" s="75">
        <f>IFERROR('Monthly Operations'!BK38/BK18,0)</f>
        <v>1.2978668352875993</v>
      </c>
      <c r="BL20" s="75">
        <f>IFERROR('Monthly Operations'!BL38/BL18,0)</f>
        <v>1.3474288465160178</v>
      </c>
      <c r="BM20" s="75">
        <f>IFERROR('Monthly Operations'!BM38/BM18,0)</f>
        <v>1.3474288465160178</v>
      </c>
      <c r="BN20" s="75">
        <f>IFERROR('Monthly Operations'!BN38/BN18,0)</f>
        <v>1.3474288465160178</v>
      </c>
      <c r="BO20" s="75">
        <f>IFERROR('Monthly Operations'!BO38/BO18,0)</f>
        <v>1.3474288465160178</v>
      </c>
      <c r="BP20" s="75">
        <f>IFERROR('Monthly Operations'!BP38/BP18,0)</f>
        <v>1.3474288465160178</v>
      </c>
      <c r="BQ20" s="75">
        <f>IFERROR('Monthly Operations'!BQ38/BQ18,0)</f>
        <v>1.3474288465160178</v>
      </c>
      <c r="BR20" s="75">
        <f>IFERROR('Monthly Operations'!BR38/BR18,0)</f>
        <v>1.3474288465160178</v>
      </c>
      <c r="BS20" s="75">
        <f>IFERROR('Monthly Operations'!BS38/BS18,0)</f>
        <v>1.3474288465160178</v>
      </c>
      <c r="BT20" s="75">
        <f>IFERROR('Monthly Operations'!BT38/BT18,0)</f>
        <v>1.3474288465160178</v>
      </c>
      <c r="BU20" s="75">
        <f>IFERROR('Monthly Operations'!BU38/BU18,0)</f>
        <v>1.3474288465160178</v>
      </c>
      <c r="BV20" s="75">
        <f>IFERROR('Monthly Operations'!BV38/BV18,0)</f>
        <v>1.3474288465160178</v>
      </c>
      <c r="BW20" s="75">
        <f>IFERROR('Monthly Operations'!BW38/BW18,0)</f>
        <v>1.3474288465160178</v>
      </c>
      <c r="BX20" s="75">
        <f>IFERROR('Monthly Operations'!BX38/BX18,0)</f>
        <v>1.3987433682355335</v>
      </c>
      <c r="BY20" s="75">
        <f>IFERROR('Monthly Operations'!BY38/BY18,0)</f>
        <v>1.3987433682355335</v>
      </c>
      <c r="BZ20" s="75">
        <f>IFERROR('Monthly Operations'!BZ38/BZ18,0)</f>
        <v>1.3987433682355335</v>
      </c>
      <c r="CA20" s="75">
        <f>IFERROR('Monthly Operations'!CA38/CA18,0)</f>
        <v>1.3987433682355335</v>
      </c>
      <c r="CB20" s="75">
        <f>IFERROR('Monthly Operations'!CB38/CB18,0)</f>
        <v>1.3987433682355335</v>
      </c>
      <c r="CC20" s="75">
        <f>IFERROR('Monthly Operations'!CC38/CC18,0)</f>
        <v>1.3987433682355335</v>
      </c>
      <c r="CD20" s="75">
        <f>IFERROR('Monthly Operations'!CD38/CD18,0)</f>
        <v>1.3987433682355335</v>
      </c>
      <c r="CE20" s="75">
        <f>IFERROR('Monthly Operations'!CE38/CE18,0)</f>
        <v>1.3987433682355335</v>
      </c>
      <c r="CF20" s="75">
        <f>IFERROR('Monthly Operations'!CF38/CF18,0)</f>
        <v>1.3987433682355335</v>
      </c>
      <c r="CG20" s="75">
        <f>IFERROR('Monthly Operations'!CG38/CG18,0)</f>
        <v>1.3987433682355335</v>
      </c>
      <c r="CH20" s="75">
        <f>IFERROR('Monthly Operations'!CH38/CH18,0)</f>
        <v>1.3987433682355335</v>
      </c>
      <c r="CI20" s="75">
        <f>IFERROR('Monthly Operations'!CI38/CI18,0)</f>
        <v>1.3987433682355335</v>
      </c>
      <c r="CJ20" s="75">
        <f>IFERROR('Monthly Operations'!CJ38/CJ18,0)</f>
        <v>1.4518696170147345</v>
      </c>
      <c r="CK20" s="75">
        <f>IFERROR('Monthly Operations'!CK38/CK18,0)</f>
        <v>1.4518696170147345</v>
      </c>
      <c r="CL20" s="75">
        <f>IFERROR('Monthly Operations'!CL38/CL18,0)</f>
        <v>1.4518696170147345</v>
      </c>
      <c r="CM20" s="75">
        <f>IFERROR('Monthly Operations'!CM38/CM18,0)</f>
        <v>1.4518696170147345</v>
      </c>
      <c r="CN20" s="75">
        <f>IFERROR('Monthly Operations'!CN38/CN18,0)</f>
        <v>1.4518696170147345</v>
      </c>
      <c r="CO20" s="75">
        <f>IFERROR('Monthly Operations'!CO38/CO18,0)</f>
        <v>1.4518696170147345</v>
      </c>
      <c r="CP20" s="75">
        <f>IFERROR('Monthly Operations'!CP38/CP18,0)</f>
        <v>1.4518696170147345</v>
      </c>
      <c r="CQ20" s="75">
        <f>IFERROR('Monthly Operations'!CQ38/CQ18,0)</f>
        <v>1.4518696170147345</v>
      </c>
      <c r="CR20" s="75">
        <f>IFERROR('Monthly Operations'!CR38/CR18,0)</f>
        <v>1.4518696170147345</v>
      </c>
      <c r="CS20" s="75">
        <f>IFERROR('Monthly Operations'!CS38/CS18,0)</f>
        <v>1.4518696170147345</v>
      </c>
      <c r="CT20" s="75">
        <f>IFERROR('Monthly Operations'!CT38/CT18,0)</f>
        <v>1.4518696170147345</v>
      </c>
      <c r="CU20" s="75">
        <f>IFERROR('Monthly Operations'!CU38/CU18,0)</f>
        <v>1.4518696170147345</v>
      </c>
      <c r="CV20" s="75">
        <f>IFERROR('Monthly Operations'!CV38/CV18,0)</f>
        <v>1.5068687519506139</v>
      </c>
      <c r="CW20" s="75">
        <f>IFERROR('Monthly Operations'!CW38/CW18,0)</f>
        <v>1.5068687519506139</v>
      </c>
      <c r="CX20" s="75">
        <f>IFERROR('Monthly Operations'!CX38/CX18,0)</f>
        <v>1.5068687519506139</v>
      </c>
      <c r="CY20" s="75">
        <f>IFERROR('Monthly Operations'!CY38/CY18,0)</f>
        <v>1.5068687519506139</v>
      </c>
      <c r="CZ20" s="75">
        <f>IFERROR('Monthly Operations'!CZ38/CZ18,0)</f>
        <v>1.5068687519506139</v>
      </c>
      <c r="DA20" s="75">
        <f>IFERROR('Monthly Operations'!DA38/DA18,0)</f>
        <v>1.5068687519506139</v>
      </c>
      <c r="DB20" s="75">
        <f>IFERROR('Monthly Operations'!DB38/DB18,0)</f>
        <v>1.5068687519506139</v>
      </c>
      <c r="DC20" s="75">
        <f>IFERROR('Monthly Operations'!DC38/DC18,0)</f>
        <v>1.5068687519506139</v>
      </c>
      <c r="DD20" s="75">
        <f>IFERROR('Monthly Operations'!DD38/DD18,0)</f>
        <v>1.5068687519506139</v>
      </c>
      <c r="DE20" s="75">
        <f>IFERROR('Monthly Operations'!DE38/DE18,0)</f>
        <v>1.5068687519506139</v>
      </c>
      <c r="DF20" s="75">
        <f>IFERROR('Monthly Operations'!DF38/DF18,0)</f>
        <v>1.5068687519506139</v>
      </c>
      <c r="DG20" s="75">
        <f>IFERROR('Monthly Operations'!DG38/DG18,0)</f>
        <v>1.5068687519506139</v>
      </c>
      <c r="DH20" s="75">
        <f>IFERROR('Monthly Operations'!DH38/DH18,0)</f>
        <v>1.5638039370952064</v>
      </c>
      <c r="DI20" s="75">
        <f>IFERROR('Monthly Operations'!DI38/DI18,0)</f>
        <v>1.5638039370952064</v>
      </c>
      <c r="DJ20" s="75">
        <f>IFERROR('Monthly Operations'!DJ38/DJ18,0)</f>
        <v>1.5638039370952064</v>
      </c>
      <c r="DK20" s="75">
        <f>IFERROR('Monthly Operations'!DK38/DK18,0)</f>
        <v>1.5638039370952064</v>
      </c>
      <c r="DL20" s="75">
        <f>IFERROR('Monthly Operations'!DL38/DL18,0)</f>
        <v>1.5638039370952064</v>
      </c>
      <c r="DM20" s="75">
        <f>IFERROR('Monthly Operations'!DM38/DM18,0)</f>
        <v>1.5638039370952064</v>
      </c>
      <c r="DN20" s="75">
        <f>IFERROR('Monthly Operations'!DN38/DN18,0)</f>
        <v>1.5638039370952064</v>
      </c>
      <c r="DO20" s="75">
        <f>IFERROR('Monthly Operations'!DO38/DO18,0)</f>
        <v>1.5638039370952064</v>
      </c>
      <c r="DP20" s="75">
        <f>IFERROR('Monthly Operations'!DP38/DP18,0)</f>
        <v>1.5638039370952064</v>
      </c>
      <c r="DQ20" s="75">
        <f>IFERROR('Monthly Operations'!DQ38/DQ18,0)</f>
        <v>1.5638039370952064</v>
      </c>
      <c r="DR20" s="75">
        <f>IFERROR('Monthly Operations'!DR38/DR18,0)</f>
        <v>1.5638039370952064</v>
      </c>
      <c r="DS20" s="75">
        <f>IFERROR('Monthly Operations'!DS38/DS18,0)</f>
        <v>1.5638039370952064</v>
      </c>
    </row>
    <row r="21" spans="1:123" x14ac:dyDescent="0.25">
      <c r="A21" s="1" t="s">
        <v>343</v>
      </c>
      <c r="D21" s="63">
        <f>IFERROR('Monthly Operations'!D38*12/D19,0)</f>
        <v>7.3793391941391881E-2</v>
      </c>
      <c r="E21" s="63">
        <f>IFERROR('Monthly Operations'!E38*12/E19,0)</f>
        <v>7.740436630036629E-2</v>
      </c>
      <c r="F21" s="63">
        <f>IFERROR('Monthly Operations'!F38*12/F19,0)</f>
        <v>8.1015340659340573E-2</v>
      </c>
      <c r="G21" s="63">
        <f>IFERROR('Monthly Operations'!G38*12/G19,0)</f>
        <v>8.4626315018315038E-2</v>
      </c>
      <c r="H21" s="63">
        <f>IFERROR('Monthly Operations'!H38*12/H19,0)</f>
        <v>8.8237289377289363E-2</v>
      </c>
      <c r="I21" s="63">
        <f>IFERROR('Monthly Operations'!I38*12/I19,0)</f>
        <v>9.1848263736263688E-2</v>
      </c>
      <c r="J21" s="63">
        <f>IFERROR('Monthly Operations'!J38*12/J19,0)</f>
        <v>9.5459238095238055E-2</v>
      </c>
      <c r="K21" s="63">
        <f>IFERROR('Monthly Operations'!K38*12/K19,0)</f>
        <v>9.9070212454212478E-2</v>
      </c>
      <c r="L21" s="63">
        <f>IFERROR('Monthly Operations'!L38*12/L19,0)</f>
        <v>0.10268118681318684</v>
      </c>
      <c r="M21" s="63">
        <f>IFERROR('Monthly Operations'!M38*12/M19,0)</f>
        <v>0.10629216117216113</v>
      </c>
      <c r="N21" s="63">
        <f>IFERROR('Monthly Operations'!N38*12/N19,0)</f>
        <v>0.10990313553113555</v>
      </c>
      <c r="O21" s="63">
        <f>IFERROR('Monthly Operations'!O38*12/O19,0)</f>
        <v>0.11351410989010988</v>
      </c>
      <c r="P21" s="63">
        <f>IFERROR('Monthly Operations'!P38*12/P19,0)</f>
        <v>0.12180960893772898</v>
      </c>
      <c r="Q21" s="63">
        <f>IFERROR('Monthly Operations'!Q38*12/Q19,0)</f>
        <v>0.12552796600732605</v>
      </c>
      <c r="R21" s="63">
        <f>IFERROR('Monthly Operations'!R38*12/R19,0)</f>
        <v>0.12924632307692316</v>
      </c>
      <c r="S21" s="63">
        <f>IFERROR('Monthly Operations'!S38*12/S19,0)</f>
        <v>0.13296468014652027</v>
      </c>
      <c r="T21" s="63">
        <f>IFERROR('Monthly Operations'!T38*12/T19,0)</f>
        <v>0.13668303721611724</v>
      </c>
      <c r="U21" s="63">
        <f>IFERROR('Monthly Operations'!U38*12/U19,0)</f>
        <v>0.14040139428571433</v>
      </c>
      <c r="V21" s="63">
        <f>IFERROR('Monthly Operations'!V38*12/V19,0)</f>
        <v>0.14040139428571433</v>
      </c>
      <c r="W21" s="63">
        <f>IFERROR('Monthly Operations'!W38*12/W19,0)</f>
        <v>0.14040139428571433</v>
      </c>
      <c r="X21" s="63">
        <f>IFERROR('Monthly Operations'!X38*12/X19,0)</f>
        <v>0.14040139428571433</v>
      </c>
      <c r="Y21" s="63">
        <f>IFERROR('Monthly Operations'!Y38*12/Y19,0)</f>
        <v>0.14040139428571433</v>
      </c>
      <c r="Z21" s="63">
        <f>IFERROR('Monthly Operations'!Z38*12/Z19,0)</f>
        <v>0.14040139428571433</v>
      </c>
      <c r="AA21" s="63">
        <f>IFERROR('Monthly Operations'!AA38*12/AA19,0)</f>
        <v>0.14040139428571433</v>
      </c>
      <c r="AB21" s="63">
        <f>IFERROR('Monthly Operations'!AB38*12/AB19,0)</f>
        <v>0.14594055890915009</v>
      </c>
      <c r="AC21" s="63">
        <f>IFERROR('Monthly Operations'!AC38*12/AC19,0)</f>
        <v>0.14607344670301425</v>
      </c>
      <c r="AD21" s="63">
        <f>IFERROR('Monthly Operations'!AD38*12/AD19,0)</f>
        <v>0.14620729850407177</v>
      </c>
      <c r="AE21" s="63">
        <f>IFERROR('Monthly Operations'!AE38*12/AE19,0)</f>
        <v>0.14634212286589962</v>
      </c>
      <c r="AF21" s="63">
        <f>IFERROR('Monthly Operations'!AF38*12/AF19,0)</f>
        <v>0.14647792843823879</v>
      </c>
      <c r="AG21" s="63">
        <f>IFERROR('Monthly Operations'!AG38*12/AG19,0)</f>
        <v>0.14661472396834691</v>
      </c>
      <c r="AH21" s="63">
        <f>IFERROR('Monthly Operations'!AH38*12/AH19,0)</f>
        <v>0.14675251830237376</v>
      </c>
      <c r="AI21" s="63">
        <f>IFERROR('Monthly Operations'!AI38*12/AI19,0)</f>
        <v>0.14689132038676017</v>
      </c>
      <c r="AJ21" s="63">
        <f>IFERROR('Monthly Operations'!AJ38*12/AJ19,0)</f>
        <v>0.14703113926966105</v>
      </c>
      <c r="AK21" s="63">
        <f>IFERROR('Monthly Operations'!AK38*12/AK19,0)</f>
        <v>0.14717198410239241</v>
      </c>
      <c r="AL21" s="63">
        <f>IFERROR('Monthly Operations'!AL38*12/AL19,0)</f>
        <v>0.14731386414090369</v>
      </c>
      <c r="AM21" s="63">
        <f>IFERROR('Monthly Operations'!AM38*12/AM19,0)</f>
        <v>8.6693019204653762E-2</v>
      </c>
      <c r="AN21" s="63">
        <f>IFERROR('Monthly Operations'!AN38*12/AN19,0)</f>
        <v>9.0112442128693862E-2</v>
      </c>
      <c r="AO21" s="63">
        <f>IFERROR('Monthly Operations'!AO38*12/AO19,0)</f>
        <v>9.0203321627221014E-2</v>
      </c>
      <c r="AP21" s="63">
        <f>IFERROR('Monthly Operations'!AP38*12/AP19,0)</f>
        <v>9.0294840393873463E-2</v>
      </c>
      <c r="AQ21" s="63">
        <f>IFERROR('Monthly Operations'!AQ38*12/AQ19,0)</f>
        <v>9.0387004047245659E-2</v>
      </c>
      <c r="AR21" s="63">
        <f>IFERROR('Monthly Operations'!AR38*12/AR19,0)</f>
        <v>9.047981826923919E-2</v>
      </c>
      <c r="AS21" s="63">
        <f>IFERROR('Monthly Operations'!AS38*12/AS19,0)</f>
        <v>9.0573288805956748E-2</v>
      </c>
      <c r="AT21" s="63">
        <f>IFERROR('Monthly Operations'!AT38*12/AT19,0)</f>
        <v>9.0667421468611564E-2</v>
      </c>
      <c r="AU21" s="63">
        <f>IFERROR('Monthly Operations'!AU38*12/AU19,0)</f>
        <v>9.0762222134452106E-2</v>
      </c>
      <c r="AV21" s="63">
        <f>IFERROR('Monthly Operations'!AV38*12/AV19,0)</f>
        <v>9.0857696747702901E-2</v>
      </c>
      <c r="AW21" s="63">
        <f>IFERROR('Monthly Operations'!AW38*12/AW19,0)</f>
        <v>9.0953851320521348E-2</v>
      </c>
      <c r="AX21" s="63">
        <f>IFERROR('Monthly Operations'!AX38*12/AX19,0)</f>
        <v>9.1050691933971015E-2</v>
      </c>
      <c r="AY21" s="63">
        <f>IFERROR('Monthly Operations'!AY38*12/AY19,0)</f>
        <v>9.1148224739011963E-2</v>
      </c>
      <c r="AZ21" s="63">
        <f>IFERROR('Monthly Operations'!AZ38*12/AZ19,0)</f>
        <v>9.4740599219824154E-2</v>
      </c>
      <c r="BA21" s="63">
        <f>IFERROR('Monthly Operations'!BA38*12/BA19,0)</f>
        <v>9.4843323745296929E-2</v>
      </c>
      <c r="BB21" s="63">
        <f>IFERROR('Monthly Operations'!BB38*12/BB19,0)</f>
        <v>9.4946786574271053E-2</v>
      </c>
      <c r="BC21" s="63">
        <f>IFERROR('Monthly Operations'!BC38*12/BC19,0)</f>
        <v>9.5050994394183103E-2</v>
      </c>
      <c r="BD21" s="63">
        <f>IFERROR('Monthly Operations'!BD38*12/BD19,0)</f>
        <v>9.5155953970457882E-2</v>
      </c>
      <c r="BE21" s="63">
        <f>IFERROR('Monthly Operations'!BE38*12/BE19,0)</f>
        <v>9.5261672147649079E-2</v>
      </c>
      <c r="BF21" s="63">
        <f>IFERROR('Monthly Operations'!BF38*12/BF19,0)</f>
        <v>9.5368155850600031E-2</v>
      </c>
      <c r="BG21" s="63">
        <f>IFERROR('Monthly Operations'!BG38*12/BG19,0)</f>
        <v>9.547541208562503E-2</v>
      </c>
      <c r="BH21" s="63">
        <f>IFERROR('Monthly Operations'!BH38*12/BH19,0)</f>
        <v>9.5583447941711641E-2</v>
      </c>
      <c r="BI21" s="63">
        <f>IFERROR('Monthly Operations'!BI38*12/BI19,0)</f>
        <v>9.5692270591744344E-2</v>
      </c>
      <c r="BJ21" s="63">
        <f>IFERROR('Monthly Operations'!BJ38*12/BJ19,0)</f>
        <v>9.5801887293750082E-2</v>
      </c>
      <c r="BK21" s="63">
        <f>IFERROR('Monthly Operations'!BK38*12/BK19,0)</f>
        <v>9.5912305392166095E-2</v>
      </c>
      <c r="BL21" s="63">
        <f>IFERROR('Monthly Operations'!BL38*12/BL19,0)</f>
        <v>9.9690410351296707E-2</v>
      </c>
      <c r="BM21" s="63">
        <f>IFERROR('Monthly Operations'!BM38*12/BM19,0)</f>
        <v>9.980673225654374E-2</v>
      </c>
      <c r="BN21" s="63">
        <f>IFERROR('Monthly Operations'!BN38*12/BN19,0)</f>
        <v>9.9923909587839116E-2</v>
      </c>
      <c r="BO21" s="63">
        <f>IFERROR('Monthly Operations'!BO38*12/BO19,0)</f>
        <v>0.10004195034256734</v>
      </c>
      <c r="BP21" s="63">
        <f>IFERROR('Monthly Operations'!BP38*12/BP19,0)</f>
        <v>0.10016086261476899</v>
      </c>
      <c r="BQ21" s="63">
        <f>IFERROR('Monthly Operations'!BQ38*12/BQ19,0)</f>
        <v>0.10028065459660657</v>
      </c>
      <c r="BR21" s="63">
        <f>IFERROR('Monthly Operations'!BR38*12/BR19,0)</f>
        <v>0.100401334579857</v>
      </c>
      <c r="BS21" s="63">
        <f>IFERROR('Monthly Operations'!BS38*12/BS19,0)</f>
        <v>0.10052291095743177</v>
      </c>
      <c r="BT21" s="63">
        <f>IFERROR('Monthly Operations'!BT38*12/BT19,0)</f>
        <v>0.10064539222492477</v>
      </c>
      <c r="BU21" s="63">
        <f>IFERROR('Monthly Operations'!BU38*12/BU19,0)</f>
        <v>0.10076878698218891</v>
      </c>
      <c r="BV21" s="63">
        <f>IFERROR('Monthly Operations'!BV38*12/BV19,0)</f>
        <v>0.10089310393494184</v>
      </c>
      <c r="BW21" s="63">
        <f>IFERROR('Monthly Operations'!BW38*12/BW19,0)</f>
        <v>0.10101835189640151</v>
      </c>
      <c r="BX21" s="63">
        <f>IFERROR('Monthly Operations'!BX38*12/BX19,0)</f>
        <v>0.10499645649478097</v>
      </c>
      <c r="BY21" s="63">
        <f>IFERROR('Monthly Operations'!BY38*12/BY19,0)</f>
        <v>0.10512843514129161</v>
      </c>
      <c r="BZ21" s="63">
        <f>IFERROR('Monthly Operations'!BZ38*12/BZ19,0)</f>
        <v>0.10526140838596793</v>
      </c>
      <c r="CA21" s="63">
        <f>IFERROR('Monthly Operations'!CA38*12/CA19,0)</f>
        <v>0.1053953858416629</v>
      </c>
      <c r="CB21" s="63">
        <f>IFERROR('Monthly Operations'!CB38*12/CB19,0)</f>
        <v>0.1055303772418016</v>
      </c>
      <c r="CC21" s="63">
        <f>IFERROR('Monthly Operations'!CC38*12/CC19,0)</f>
        <v>0.10566639244227954</v>
      </c>
      <c r="CD21" s="63">
        <f>IFERROR('Monthly Operations'!CD38*12/CD19,0)</f>
        <v>0.10580344142339713</v>
      </c>
      <c r="CE21" s="63">
        <f>IFERROR('Monthly Operations'!CE38*12/CE19,0)</f>
        <v>0.10594153429183081</v>
      </c>
      <c r="CF21" s="63">
        <f>IFERROR('Monthly Operations'!CF38*12/CF19,0)</f>
        <v>0.10608068128264204</v>
      </c>
      <c r="CG21" s="63">
        <f>IFERROR('Monthly Operations'!CG38*12/CG19,0)</f>
        <v>0.10622089276132468</v>
      </c>
      <c r="CH21" s="63">
        <f>IFERROR('Monthly Operations'!CH38*12/CH19,0)</f>
        <v>0.10636217922589181</v>
      </c>
      <c r="CI21" s="63">
        <f>IFERROR('Monthly Operations'!CI38*12/CI19,0)</f>
        <v>0.10650455130900272</v>
      </c>
      <c r="CJ21" s="63">
        <f>IFERROR('Monthly Operations'!CJ38*12/CJ19,0)</f>
        <v>0.11069866220626517</v>
      </c>
      <c r="CK21" s="63">
        <f>IFERROR('Monthly Operations'!CK38*12/CK19,0)</f>
        <v>0.11084872916577074</v>
      </c>
      <c r="CL21" s="63">
        <f>IFERROR('Monthly Operations'!CL38*12/CL19,0)</f>
        <v>0.11099995694794081</v>
      </c>
      <c r="CM21" s="63">
        <f>IFERROR('Monthly Operations'!CM38*12/CM19,0)</f>
        <v>0.11115235717126688</v>
      </c>
      <c r="CN21" s="63">
        <f>IFERROR('Monthly Operations'!CN38*12/CN19,0)</f>
        <v>0.11130594160570062</v>
      </c>
      <c r="CO21" s="63">
        <f>IFERROR('Monthly Operations'!CO38*12/CO19,0)</f>
        <v>0.11146072217513309</v>
      </c>
      <c r="CP21" s="63">
        <f>IFERROR('Monthly Operations'!CP38*12/CP19,0)</f>
        <v>0.11161671095992289</v>
      </c>
      <c r="CQ21" s="63">
        <f>IFERROR('Monthly Operations'!CQ38*12/CQ19,0)</f>
        <v>0.11177392019947448</v>
      </c>
      <c r="CR21" s="63">
        <f>IFERROR('Monthly Operations'!CR38*12/CR19,0)</f>
        <v>0.1119323622948676</v>
      </c>
      <c r="CS21" s="63">
        <f>IFERROR('Monthly Operations'!CS38*12/CS19,0)</f>
        <v>0.11209204981153913</v>
      </c>
      <c r="CT21" s="63">
        <f>IFERROR('Monthly Operations'!CT38*12/CT19,0)</f>
        <v>0.11225299548201861</v>
      </c>
      <c r="CU21" s="63">
        <f>IFERROR('Monthly Operations'!CU38*12/CU19,0)</f>
        <v>0.11241521220871871</v>
      </c>
      <c r="CV21" s="63">
        <f>IFERROR('Monthly Operations'!CV38*12/CV19,0)</f>
        <v>0.11684337413434967</v>
      </c>
      <c r="CW21" s="63">
        <f>IFERROR('Monthly Operations'!CW38*12/CW19,0)</f>
        <v>0.11701441519452928</v>
      </c>
      <c r="CX21" s="63">
        <f>IFERROR('Monthly Operations'!CX38*12/CX19,0)</f>
        <v>0.11718681672184969</v>
      </c>
      <c r="CY21" s="63">
        <f>IFERROR('Monthly Operations'!CY38*12/CY19,0)</f>
        <v>0.11736059284290974</v>
      </c>
      <c r="CZ21" s="63">
        <f>IFERROR('Monthly Operations'!CZ38*12/CZ19,0)</f>
        <v>0.11753575787600998</v>
      </c>
      <c r="DA21" s="63">
        <f>IFERROR('Monthly Operations'!DA38*12/DA19,0)</f>
        <v>0.11771232633442007</v>
      </c>
      <c r="DB21" s="63">
        <f>IFERROR('Monthly Operations'!DB38*12/DB19,0)</f>
        <v>0.1178903129297133</v>
      </c>
      <c r="DC21" s="63">
        <f>IFERROR('Monthly Operations'!DC38*12/DC19,0)</f>
        <v>0.11806973257516977</v>
      </c>
      <c r="DD21" s="63">
        <f>IFERROR('Monthly Operations'!DD38*12/DD19,0)</f>
        <v>0.11825060038925006</v>
      </c>
      <c r="DE21" s="63">
        <f>IFERROR('Monthly Operations'!DE38*12/DE19,0)</f>
        <v>0.11843293169914099</v>
      </c>
      <c r="DF21" s="63">
        <f>IFERROR('Monthly Operations'!DF38*12/DF19,0)</f>
        <v>0.11861674204437522</v>
      </c>
      <c r="DG21" s="63">
        <f>IFERROR('Monthly Operations'!DG38*12/DG19,0)</f>
        <v>0.11880204718052664</v>
      </c>
      <c r="DH21" s="63">
        <f>IFERROR('Monthly Operations'!DH38*12/DH19,0)</f>
        <v>0.12348471113942766</v>
      </c>
      <c r="DI21" s="63">
        <f>IFERROR('Monthly Operations'!DI38*12/DI19,0)</f>
        <v>0.12368017031119204</v>
      </c>
      <c r="DJ21" s="63">
        <f>IFERROR('Monthly Operations'!DJ38*12/DJ19,0)</f>
        <v>0.12387723119014131</v>
      </c>
      <c r="DK21" s="63">
        <f>IFERROR('Monthly Operations'!DK38*12/DK19,0)</f>
        <v>0.12407591106395877</v>
      </c>
      <c r="DL21" s="63">
        <f>IFERROR('Monthly Operations'!DL38*12/DL19,0)</f>
        <v>0.12427622746495351</v>
      </c>
      <c r="DM21" s="63">
        <f>IFERROR('Monthly Operations'!DM38*12/DM19,0)</f>
        <v>0.1244781981744089</v>
      </c>
      <c r="DN21" s="63">
        <f>IFERROR('Monthly Operations'!DN38*12/DN19,0)</f>
        <v>0.12468184122702415</v>
      </c>
      <c r="DO21" s="63">
        <f>IFERROR('Monthly Operations'!DO38*12/DO19,0)</f>
        <v>0.12488717491545145</v>
      </c>
      <c r="DP21" s="63">
        <f>IFERROR('Monthly Operations'!DP38*12/DP19,0)</f>
        <v>0.1250942177949311</v>
      </c>
      <c r="DQ21" s="63">
        <f>IFERROR('Monthly Operations'!DQ38*12/DQ19,0)</f>
        <v>0.12530298868802683</v>
      </c>
      <c r="DR21" s="63">
        <f>IFERROR('Monthly Operations'!DR38*12/DR19,0)</f>
        <v>0.12551350668946429</v>
      </c>
      <c r="DS21" s="63">
        <f>IFERROR('Monthly Operations'!DS38*12/DS19,0)</f>
        <v>0.12572579117107502</v>
      </c>
    </row>
    <row r="22" spans="1:123" x14ac:dyDescent="0.25">
      <c r="A22" s="1" t="s">
        <v>344</v>
      </c>
      <c r="D22" s="63">
        <f>IFERROR(D19/(IFERROR('Monthly Operations'!D44/Assumptions!$B$12,0)),0)</f>
        <v>0.66560782230244797</v>
      </c>
      <c r="E22" s="63">
        <f>IFERROR(E19/(IFERROR('Monthly Operations'!E44/Assumptions!$B$12,0)),0)</f>
        <v>0.63935221348238258</v>
      </c>
      <c r="F22" s="63">
        <f>IFERROR(F19/(IFERROR('Monthly Operations'!F44/Assumptions!$B$12,0)),0)</f>
        <v>0.61503727818407605</v>
      </c>
      <c r="G22" s="63">
        <f>IFERROR(G19/(IFERROR('Monthly Operations'!G44/Assumptions!$B$12,0)),0)</f>
        <v>0.59245568064750476</v>
      </c>
      <c r="H22" s="63">
        <f>IFERROR(H19/(IFERROR('Monthly Operations'!H44/Assumptions!$B$12,0)),0)</f>
        <v>0.57142860363080317</v>
      </c>
      <c r="I22" s="63">
        <f>IFERROR(I19/(IFERROR('Monthly Operations'!I44/Assumptions!$B$12,0)),0)</f>
        <v>0.55180100810433907</v>
      </c>
      <c r="J22" s="63">
        <f>IFERROR(J19/(IFERROR('Monthly Operations'!J44/Assumptions!$B$12,0)),0)</f>
        <v>0.53479777975955645</v>
      </c>
      <c r="K22" s="63">
        <f>IFERROR(K19/(IFERROR('Monthly Operations'!K44/Assumptions!$B$12,0)),0)</f>
        <v>0.52006019119503422</v>
      </c>
      <c r="L22" s="63">
        <f>IFERROR(L19/(IFERROR('Monthly Operations'!L44/Assumptions!$B$12,0)),0)</f>
        <v>0.50730169768251543</v>
      </c>
      <c r="M22" s="63">
        <f>IFERROR(M19/(IFERROR('Monthly Operations'!M44/Assumptions!$B$12,0)),0)</f>
        <v>0.49629186237999035</v>
      </c>
      <c r="N22" s="63">
        <f>IFERROR(N19/(IFERROR('Monthly Operations'!N44/Assumptions!$B$12,0)),0)</f>
        <v>0.48684455782808339</v>
      </c>
      <c r="O22" s="63">
        <f>IFERROR(O19/(IFERROR('Monthly Operations'!O44/Assumptions!$B$12,0)),0)</f>
        <v>0.47880920140278355</v>
      </c>
      <c r="P22" s="63">
        <f>IFERROR(P19/(IFERROR('Monthly Operations'!P44/Assumptions!$B$12,0)),0)</f>
        <v>0.47185779806156358</v>
      </c>
      <c r="Q22" s="63">
        <f>IFERROR(Q19/(IFERROR('Monthly Operations'!Q44/Assumptions!$B$12,0)),0)</f>
        <v>0.46613887887446304</v>
      </c>
      <c r="R22" s="63">
        <f>IFERROR(R19/(IFERROR('Monthly Operations'!R44/Assumptions!$B$12,0)),0)</f>
        <v>0.46157031880672872</v>
      </c>
      <c r="S22" s="63">
        <f>IFERROR(S19/(IFERROR('Monthly Operations'!S44/Assumptions!$B$12,0)),0)</f>
        <v>0.45808861949104257</v>
      </c>
      <c r="T22" s="63">
        <f>IFERROR(T19/(IFERROR('Monthly Operations'!T44/Assumptions!$B$12,0)),0)</f>
        <v>0.45564662889219054</v>
      </c>
      <c r="U22" s="63">
        <f>IFERROR(U19/(IFERROR('Monthly Operations'!U44/Assumptions!$B$12,0)),0)</f>
        <v>0.45421190903361186</v>
      </c>
      <c r="V22" s="63">
        <f>IFERROR(V19/(IFERROR('Monthly Operations'!V44/Assumptions!$B$12,0)),0)</f>
        <v>0.4527861959790877</v>
      </c>
      <c r="W22" s="63">
        <f>IFERROR(W19/(IFERROR('Monthly Operations'!W44/Assumptions!$B$12,0)),0)</f>
        <v>0.45136940518038843</v>
      </c>
      <c r="X22" s="63">
        <f>IFERROR(X19/(IFERROR('Monthly Operations'!X44/Assumptions!$B$12,0)),0)</f>
        <v>0.44996145314420594</v>
      </c>
      <c r="Y22" s="63">
        <f>IFERROR(Y19/(IFERROR('Monthly Operations'!Y44/Assumptions!$B$12,0)),0)</f>
        <v>0.44856225741575212</v>
      </c>
      <c r="Z22" s="63">
        <f>IFERROR(Z19/(IFERROR('Monthly Operations'!Z44/Assumptions!$B$12,0)),0)</f>
        <v>0.44717173656266207</v>
      </c>
      <c r="AA22" s="63">
        <f>IFERROR(AA19/(IFERROR('Monthly Operations'!AA44/Assumptions!$B$12,0)),0)</f>
        <v>0.44578981015919539</v>
      </c>
      <c r="AB22" s="63">
        <f>IFERROR(AB19/(IFERROR('Monthly Operations'!AB44/Assumptions!$B$12,0)),0)</f>
        <v>0.44396604826689634</v>
      </c>
      <c r="AC22" s="63">
        <f>IFERROR(AC19/(IFERROR('Monthly Operations'!AC44/Assumptions!$B$12,0)),0)</f>
        <v>0.44215171576198603</v>
      </c>
      <c r="AD22" s="63">
        <f>IFERROR(AD19/(IFERROR('Monthly Operations'!AD44/Assumptions!$B$12,0)),0)</f>
        <v>0.44034671126699243</v>
      </c>
      <c r="AE22" s="63">
        <f>IFERROR(AE19/(IFERROR('Monthly Operations'!AE44/Assumptions!$B$12,0)),0)</f>
        <v>0.43855093462250039</v>
      </c>
      <c r="AF22" s="63">
        <f>IFERROR(AF19/(IFERROR('Monthly Operations'!AF44/Assumptions!$B$12,0)),0)</f>
        <v>0.43676428686762675</v>
      </c>
      <c r="AG22" s="63">
        <f>IFERROR(AG19/(IFERROR('Monthly Operations'!AG44/Assumptions!$B$12,0)),0)</f>
        <v>0.43498667022086274</v>
      </c>
      <c r="AH22" s="63">
        <f>IFERROR(AH19/(IFERROR('Monthly Operations'!AH44/Assumptions!$B$12,0)),0)</f>
        <v>0.43321798806127276</v>
      </c>
      <c r="AI22" s="63">
        <f>IFERROR(AI19/(IFERROR('Monthly Operations'!AI44/Assumptions!$B$12,0)),0)</f>
        <v>0.43145814491004442</v>
      </c>
      <c r="AJ22" s="63">
        <f>IFERROR(AJ19/(IFERROR('Monthly Operations'!AJ44/Assumptions!$B$12,0)),0)</f>
        <v>0.42970704641238072</v>
      </c>
      <c r="AK22" s="63">
        <f>IFERROR(AK19/(IFERROR('Monthly Operations'!AK44/Assumptions!$B$12,0)),0)</f>
        <v>0.42796459931972725</v>
      </c>
      <c r="AL22" s="63">
        <f>IFERROR(AL19/(IFERROR('Monthly Operations'!AL44/Assumptions!$B$12,0)),0)</f>
        <v>0.42623071147232666</v>
      </c>
      <c r="AM22" s="63">
        <f>IFERROR(AM19/(IFERROR('Monthly Operations'!AM44/Assumptions!$B$12,0)),0)</f>
        <v>0.72204414734528677</v>
      </c>
      <c r="AN22" s="63">
        <f>IFERROR(AN19/(IFERROR('Monthly Operations'!AN44/Assumptions!$B$12,0)),0)</f>
        <v>0.7190265331068374</v>
      </c>
      <c r="AO22" s="63">
        <f>IFERROR(AO19/(IFERROR('Monthly Operations'!AO44/Assumptions!$B$12,0)),0)</f>
        <v>0.71602446324985369</v>
      </c>
      <c r="AP22" s="63">
        <f>IFERROR(AP19/(IFERROR('Monthly Operations'!AP44/Assumptions!$B$12,0)),0)</f>
        <v>0.71303777246699906</v>
      </c>
      <c r="AQ22" s="63">
        <f>IFERROR(AQ19/(IFERROR('Monthly Operations'!AQ44/Assumptions!$B$12,0)),0)</f>
        <v>0.7100662974451567</v>
      </c>
      <c r="AR22" s="63">
        <f>IFERROR(AR19/(IFERROR('Monthly Operations'!AR44/Assumptions!$B$12,0)),0)</f>
        <v>0.70710987683366489</v>
      </c>
      <c r="AS22" s="63">
        <f>IFERROR(AS19/(IFERROR('Monthly Operations'!AS44/Assumptions!$B$12,0)),0)</f>
        <v>0.70416835121314747</v>
      </c>
      <c r="AT22" s="63">
        <f>IFERROR(AT19/(IFERROR('Monthly Operations'!AT44/Assumptions!$B$12,0)),0)</f>
        <v>0.70124156306492624</v>
      </c>
      <c r="AU22" s="63">
        <f>IFERROR(AU19/(IFERROR('Monthly Operations'!AU44/Assumptions!$B$12,0)),0)</f>
        <v>0.69832935674100161</v>
      </c>
      <c r="AV22" s="63">
        <f>IFERROR(AV19/(IFERROR('Monthly Operations'!AV44/Assumptions!$B$12,0)),0)</f>
        <v>0.69543157843458958</v>
      </c>
      <c r="AW22" s="63">
        <f>IFERROR(AW19/(IFERROR('Monthly Operations'!AW44/Assumptions!$B$12,0)),0)</f>
        <v>0.69254807615120384</v>
      </c>
      <c r="AX22" s="63">
        <f>IFERROR(AX19/(IFERROR('Monthly Operations'!AX44/Assumptions!$B$12,0)),0)</f>
        <v>0.6896786996802704</v>
      </c>
      <c r="AY22" s="63">
        <f>IFERROR(AY19/(IFERROR('Monthly Operations'!AY44/Assumptions!$B$12,0)),0)</f>
        <v>0.68682330056726193</v>
      </c>
      <c r="AZ22" s="63">
        <f>IFERROR(AZ19/(IFERROR('Monthly Operations'!AZ44/Assumptions!$B$12,0)),0)</f>
        <v>0.6839075211259501</v>
      </c>
      <c r="BA22" s="63">
        <f>IFERROR(BA19/(IFERROR('Monthly Operations'!BA44/Assumptions!$B$12,0)),0)</f>
        <v>0.68100650832624765</v>
      </c>
      <c r="BB22" s="63">
        <f>IFERROR(BB19/(IFERROR('Monthly Operations'!BB44/Assumptions!$B$12,0)),0)</f>
        <v>0.67812010421663838</v>
      </c>
      <c r="BC22" s="63">
        <f>IFERROR(BC19/(IFERROR('Monthly Operations'!BC44/Assumptions!$B$12,0)),0)</f>
        <v>0.67524815273965144</v>
      </c>
      <c r="BD22" s="63">
        <f>IFERROR(BD19/(IFERROR('Monthly Operations'!BD44/Assumptions!$B$12,0)),0)</f>
        <v>0.67239049970174247</v>
      </c>
      <c r="BE22" s="63">
        <f>IFERROR(BE19/(IFERROR('Monthly Operations'!BE44/Assumptions!$B$12,0)),0)</f>
        <v>0.66954699274373497</v>
      </c>
      <c r="BF22" s="63">
        <f>IFERROR(BF19/(IFERROR('Monthly Operations'!BF44/Assumptions!$B$12,0)),0)</f>
        <v>0.6667174813118123</v>
      </c>
      <c r="BG22" s="63">
        <f>IFERROR(BG19/(IFERROR('Monthly Operations'!BG44/Assumptions!$B$12,0)),0)</f>
        <v>0.6639018166290489</v>
      </c>
      <c r="BH22" s="63">
        <f>IFERROR(BH19/(IFERROR('Monthly Operations'!BH44/Assumptions!$B$12,0)),0)</f>
        <v>0.6610998516674651</v>
      </c>
      <c r="BI22" s="63">
        <f>IFERROR(BI19/(IFERROR('Monthly Operations'!BI44/Assumptions!$B$12,0)),0)</f>
        <v>0.65831144112059847</v>
      </c>
      <c r="BJ22" s="63">
        <f>IFERROR(BJ19/(IFERROR('Monthly Operations'!BJ44/Assumptions!$B$12,0)),0)</f>
        <v>0.65553644137657818</v>
      </c>
      <c r="BK22" s="63">
        <f>IFERROR(BK19/(IFERROR('Monthly Operations'!BK44/Assumptions!$B$12,0)),0)</f>
        <v>0.65277471049169378</v>
      </c>
      <c r="BL22" s="63">
        <f>IFERROR(BL19/(IFERROR('Monthly Operations'!BL44/Assumptions!$B$12,0)),0)</f>
        <v>0.64995587726308257</v>
      </c>
      <c r="BM22" s="63">
        <f>IFERROR(BM19/(IFERROR('Monthly Operations'!BM44/Assumptions!$B$12,0)),0)</f>
        <v>0.64715106613086815</v>
      </c>
      <c r="BN22" s="63">
        <f>IFERROR(BN19/(IFERROR('Monthly Operations'!BN44/Assumptions!$B$12,0)),0)</f>
        <v>0.6443601261272901</v>
      </c>
      <c r="BO22" s="63">
        <f>IFERROR(BO19/(IFERROR('Monthly Operations'!BO44/Assumptions!$B$12,0)),0)</f>
        <v>0.64158290808368323</v>
      </c>
      <c r="BP22" s="63">
        <f>IFERROR(BP19/(IFERROR('Monthly Operations'!BP44/Assumptions!$B$12,0)),0)</f>
        <v>0.63881926460191008</v>
      </c>
      <c r="BQ22" s="63">
        <f>IFERROR(BQ19/(IFERROR('Monthly Operations'!BQ44/Assumptions!$B$12,0)),0)</f>
        <v>0.6360690500263243</v>
      </c>
      <c r="BR22" s="63">
        <f>IFERROR(BR19/(IFERROR('Monthly Operations'!BR44/Assumptions!$B$12,0)),0)</f>
        <v>0.63333212041625653</v>
      </c>
      <c r="BS22" s="63">
        <f>IFERROR(BS19/(IFERROR('Monthly Operations'!BS44/Assumptions!$B$12,0)),0)</f>
        <v>0.63060833351900469</v>
      </c>
      <c r="BT22" s="63">
        <f>IFERROR(BT19/(IFERROR('Monthly Operations'!BT44/Assumptions!$B$12,0)),0)</f>
        <v>0.62789754874332648</v>
      </c>
      <c r="BU22" s="63">
        <f>IFERROR(BU19/(IFERROR('Monthly Operations'!BU44/Assumptions!$B$12,0)),0)</f>
        <v>0.62519962713341526</v>
      </c>
      <c r="BV22" s="63">
        <f>IFERROR(BV19/(IFERROR('Monthly Operations'!BV44/Assumptions!$B$12,0)),0)</f>
        <v>0.62251443134335394</v>
      </c>
      <c r="BW22" s="63">
        <f>IFERROR(BW19/(IFERROR('Monthly Operations'!BW44/Assumptions!$B$12,0)),0)</f>
        <v>0.61984182561203582</v>
      </c>
      <c r="BX22" s="63">
        <f>IFERROR(BX19/(IFERROR('Monthly Operations'!BX44/Assumptions!$B$12,0)),0)</f>
        <v>0.61711526870423516</v>
      </c>
      <c r="BY22" s="63">
        <f>IFERROR(BY19/(IFERROR('Monthly Operations'!BY44/Assumptions!$B$12,0)),0)</f>
        <v>0.61440202072265182</v>
      </c>
      <c r="BZ22" s="63">
        <f>IFERROR(BZ19/(IFERROR('Monthly Operations'!BZ44/Assumptions!$B$12,0)),0)</f>
        <v>0.6117019373319853</v>
      </c>
      <c r="CA22" s="63">
        <f>IFERROR(CA19/(IFERROR('Monthly Operations'!CA44/Assumptions!$B$12,0)),0)</f>
        <v>0.60901487590598635</v>
      </c>
      <c r="CB22" s="63">
        <f>IFERROR(CB19/(IFERROR('Monthly Operations'!CB44/Assumptions!$B$12,0)),0)</f>
        <v>0.60634069550035552</v>
      </c>
      <c r="CC22" s="63">
        <f>IFERROR(CC19/(IFERROR('Monthly Operations'!CC44/Assumptions!$B$12,0)),0)</f>
        <v>0.60367925682614543</v>
      </c>
      <c r="CD22" s="63">
        <f>IFERROR(CD19/(IFERROR('Monthly Operations'!CD44/Assumptions!$B$12,0)),0)</f>
        <v>0.60103042222365255</v>
      </c>
      <c r="CE22" s="63">
        <f>IFERROR(CE19/(IFERROR('Monthly Operations'!CE44/Assumptions!$B$12,0)),0)</f>
        <v>0.59839405563679371</v>
      </c>
      <c r="CF22" s="63">
        <f>IFERROR(CF19/(IFERROR('Monthly Operations'!CF44/Assumptions!$B$12,0)),0)</f>
        <v>0.59577002258794998</v>
      </c>
      <c r="CG22" s="63">
        <f>IFERROR(CG19/(IFERROR('Monthly Operations'!CG44/Assumptions!$B$12,0)),0)</f>
        <v>0.59315819015327287</v>
      </c>
      <c r="CH22" s="63">
        <f>IFERROR(CH19/(IFERROR('Monthly Operations'!CH44/Assumptions!$B$12,0)),0)</f>
        <v>0.59055842693844129</v>
      </c>
      <c r="CI22" s="63">
        <f>IFERROR(CI19/(IFERROR('Monthly Operations'!CI44/Assumptions!$B$12,0)),0)</f>
        <v>0.58797060305485949</v>
      </c>
      <c r="CJ22" s="63">
        <f>IFERROR(CJ19/(IFERROR('Monthly Operations'!CJ44/Assumptions!$B$12,0)),0)</f>
        <v>0.58533185906894181</v>
      </c>
      <c r="CK22" s="63">
        <f>IFERROR(CK19/(IFERROR('Monthly Operations'!CK44/Assumptions!$B$12,0)),0)</f>
        <v>0.58270574049906632</v>
      </c>
      <c r="CL22" s="63">
        <f>IFERROR(CL19/(IFERROR('Monthly Operations'!CL44/Assumptions!$B$12,0)),0)</f>
        <v>0.58009210931053934</v>
      </c>
      <c r="CM22" s="63">
        <f>IFERROR(CM19/(IFERROR('Monthly Operations'!CM44/Assumptions!$B$12,0)),0)</f>
        <v>0.577490829092286</v>
      </c>
      <c r="CN22" s="63">
        <f>IFERROR(CN19/(IFERROR('Monthly Operations'!CN44/Assumptions!$B$12,0)),0)</f>
        <v>0.57490176503113377</v>
      </c>
      <c r="CO22" s="63">
        <f>IFERROR(CO19/(IFERROR('Monthly Operations'!CO44/Assumptions!$B$12,0)),0)</f>
        <v>0.57232478388657348</v>
      </c>
      <c r="CP22" s="63">
        <f>IFERROR(CP19/(IFERROR('Monthly Operations'!CP44/Assumptions!$B$12,0)),0)</f>
        <v>0.56975975396598377</v>
      </c>
      <c r="CQ22" s="63">
        <f>IFERROR(CQ19/(IFERROR('Monthly Operations'!CQ44/Assumptions!$B$12,0)),0)</f>
        <v>0.56720654510031199</v>
      </c>
      <c r="CR22" s="63">
        <f>IFERROR(CR19/(IFERROR('Monthly Operations'!CR44/Assumptions!$B$12,0)),0)</f>
        <v>0.56466502862020018</v>
      </c>
      <c r="CS22" s="63">
        <f>IFERROR(CS19/(IFERROR('Monthly Operations'!CS44/Assumptions!$B$12,0)),0)</f>
        <v>0.5621350773325462</v>
      </c>
      <c r="CT22" s="63">
        <f>IFERROR(CT19/(IFERROR('Monthly Operations'!CT44/Assumptions!$B$12,0)),0)</f>
        <v>0.55961656549749406</v>
      </c>
      <c r="CU22" s="63">
        <f>IFERROR(CU19/(IFERROR('Monthly Operations'!CU44/Assumptions!$B$12,0)),0)</f>
        <v>0.5571093688058375</v>
      </c>
      <c r="CV22" s="63">
        <f>IFERROR(CV19/(IFERROR('Monthly Operations'!CV44/Assumptions!$B$12,0)),0)</f>
        <v>0.55455416936277513</v>
      </c>
      <c r="CW22" s="63">
        <f>IFERROR(CW19/(IFERROR('Monthly Operations'!CW44/Assumptions!$B$12,0)),0)</f>
        <v>0.55201093986809036</v>
      </c>
      <c r="CX22" s="63">
        <f>IFERROR(CX19/(IFERROR('Monthly Operations'!CX44/Assumptions!$B$12,0)),0)</f>
        <v>0.54947954827405487</v>
      </c>
      <c r="CY22" s="63">
        <f>IFERROR(CY19/(IFERROR('Monthly Operations'!CY44/Assumptions!$B$12,0)),0)</f>
        <v>0.54695986407546193</v>
      </c>
      <c r="CZ22" s="63">
        <f>IFERROR(CZ19/(IFERROR('Monthly Operations'!CZ44/Assumptions!$B$12,0)),0)</f>
        <v>0.54445175828522097</v>
      </c>
      <c r="DA22" s="63">
        <f>IFERROR(DA19/(IFERROR('Monthly Operations'!DA44/Assumptions!$B$12,0)),0)</f>
        <v>0.54195510341040154</v>
      </c>
      <c r="DB22" s="63">
        <f>IFERROR(DB19/(IFERROR('Monthly Operations'!DB44/Assumptions!$B$12,0)),0)</f>
        <v>0.53946977342871794</v>
      </c>
      <c r="DC22" s="63">
        <f>IFERROR(DC19/(IFERROR('Monthly Operations'!DC44/Assumptions!$B$12,0)),0)</f>
        <v>0.53699564376544484</v>
      </c>
      <c r="DD22" s="63">
        <f>IFERROR(DD19/(IFERROR('Monthly Operations'!DD44/Assumptions!$B$12,0)),0)</f>
        <v>0.53453259127075414</v>
      </c>
      <c r="DE22" s="63">
        <f>IFERROR(DE19/(IFERROR('Monthly Operations'!DE44/Assumptions!$B$12,0)),0)</f>
        <v>0.53208049419746495</v>
      </c>
      <c r="DF22" s="63">
        <f>IFERROR(DF19/(IFERROR('Monthly Operations'!DF44/Assumptions!$B$12,0)),0)</f>
        <v>0.5296392321791964</v>
      </c>
      <c r="DG22" s="63">
        <f>IFERROR(DG19/(IFERROR('Monthly Operations'!DG44/Assumptions!$B$12,0)),0)</f>
        <v>0.52720868620891692</v>
      </c>
      <c r="DH22" s="63">
        <f>IFERROR(DH19/(IFERROR('Monthly Operations'!DH44/Assumptions!$B$12,0)),0)</f>
        <v>0.54455499960050369</v>
      </c>
      <c r="DI22" s="63">
        <f>IFERROR(DI19/(IFERROR('Monthly Operations'!DI44/Assumptions!$B$12,0)),0)</f>
        <v>0.54199321753115948</v>
      </c>
      <c r="DJ22" s="63">
        <f>IFERROR(DJ19/(IFERROR('Monthly Operations'!DJ44/Assumptions!$B$12,0)),0)</f>
        <v>0.53944314068047194</v>
      </c>
      <c r="DK22" s="63">
        <f>IFERROR(DK19/(IFERROR('Monthly Operations'!DK44/Assumptions!$B$12,0)),0)</f>
        <v>0.53690463854271564</v>
      </c>
      <c r="DL22" s="63">
        <f>IFERROR(DL19/(IFERROR('Monthly Operations'!DL44/Assumptions!$B$12,0)),0)</f>
        <v>0.5343775821241159</v>
      </c>
      <c r="DM22" s="63">
        <f>IFERROR(DM19/(IFERROR('Monthly Operations'!DM44/Assumptions!$B$12,0)),0)</f>
        <v>0.53186184391895686</v>
      </c>
      <c r="DN22" s="63">
        <f>IFERROR(DN19/(IFERROR('Monthly Operations'!DN44/Assumptions!$B$12,0)),0)</f>
        <v>0.52935729788612962</v>
      </c>
      <c r="DO22" s="63">
        <f>IFERROR(DO19/(IFERROR('Monthly Operations'!DO44/Assumptions!$B$12,0)),0)</f>
        <v>0.52686381942610971</v>
      </c>
      <c r="DP22" s="63">
        <f>IFERROR(DP19/(IFERROR('Monthly Operations'!DP44/Assumptions!$B$12,0)),0)</f>
        <v>0.52438128535835438</v>
      </c>
      <c r="DQ22" s="63">
        <f>IFERROR(DQ19/(IFERROR('Monthly Operations'!DQ44/Assumptions!$B$12,0)),0)</f>
        <v>0.52190957389911163</v>
      </c>
      <c r="DR22" s="63">
        <f>IFERROR(DR19/(IFERROR('Monthly Operations'!DR44/Assumptions!$B$12,0)),0)</f>
        <v>0.51944856463963163</v>
      </c>
      <c r="DS22" s="63">
        <f>IFERROR(DS19/(IFERROR('Monthly Operations'!DS44/Assumptions!$B$12,0)),0)</f>
        <v>0.51699813852477206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zoomScaleNormal="100" workbookViewId="0">
      <selection activeCell="B14" sqref="B14"/>
    </sheetView>
  </sheetViews>
  <sheetFormatPr defaultColWidth="8.7109375" defaultRowHeight="15" x14ac:dyDescent="0.25"/>
  <cols>
    <col min="1" max="1" width="34" customWidth="1"/>
    <col min="2" max="2" width="20.140625" customWidth="1"/>
    <col min="4" max="4" width="40" customWidth="1"/>
    <col min="5" max="5" width="26.5703125" bestFit="1" customWidth="1"/>
    <col min="6" max="7" width="10.140625" bestFit="1" customWidth="1"/>
  </cols>
  <sheetData>
    <row r="1" spans="1:8" ht="24" customHeight="1" x14ac:dyDescent="0.25">
      <c r="A1" s="141" t="s">
        <v>345</v>
      </c>
      <c r="B1" s="141"/>
      <c r="C1" s="141"/>
      <c r="D1" s="141"/>
      <c r="E1" s="141"/>
    </row>
    <row r="2" spans="1:8" ht="13.5" customHeight="1" x14ac:dyDescent="0.25">
      <c r="A2" s="142" t="s">
        <v>346</v>
      </c>
      <c r="B2" s="142"/>
      <c r="C2" s="142"/>
      <c r="D2" s="142"/>
      <c r="E2" s="142"/>
      <c r="G2" s="133"/>
      <c r="H2" s="132"/>
    </row>
    <row r="3" spans="1:8" x14ac:dyDescent="0.25">
      <c r="H3" s="132"/>
    </row>
    <row r="4" spans="1:8" x14ac:dyDescent="0.25">
      <c r="A4" s="143" t="s">
        <v>347</v>
      </c>
      <c r="B4" s="143"/>
      <c r="C4" s="143"/>
      <c r="D4" s="143"/>
    </row>
    <row r="5" spans="1:8" x14ac:dyDescent="0.25">
      <c r="A5" s="1" t="s">
        <v>124</v>
      </c>
      <c r="B5" s="76">
        <f>Assumptions!$B$68</f>
        <v>36</v>
      </c>
    </row>
    <row r="6" spans="1:8" x14ac:dyDescent="0.25">
      <c r="A6" s="1" t="s">
        <v>348</v>
      </c>
      <c r="B6" s="68">
        <f>IFERROR(INDEX('Monthly Operations'!D44:DS44,1,Assumptions!$B$68),0)</f>
        <v>137781.23975692008</v>
      </c>
    </row>
    <row r="7" spans="1:8" x14ac:dyDescent="0.25">
      <c r="A7" s="1" t="s">
        <v>130</v>
      </c>
      <c r="B7" s="77">
        <f>Assumptions!$B$74</f>
        <v>6.2E-2</v>
      </c>
      <c r="F7" s="135"/>
    </row>
    <row r="8" spans="1:8" x14ac:dyDescent="0.25">
      <c r="A8" s="14" t="s">
        <v>349</v>
      </c>
      <c r="B8" s="78">
        <f>IFERROR(B6/B7,0)</f>
        <v>2222278.0605954854</v>
      </c>
    </row>
    <row r="9" spans="1:8" x14ac:dyDescent="0.25">
      <c r="A9" s="1" t="s">
        <v>350</v>
      </c>
      <c r="B9" s="68">
        <f>Assumptions!$B$69*B8</f>
        <v>1555594.6424168397</v>
      </c>
    </row>
    <row r="10" spans="1:8" x14ac:dyDescent="0.25">
      <c r="A10" s="1" t="s">
        <v>351</v>
      </c>
      <c r="B10" s="68">
        <f>IFERROR(B6/Assumptions!$B$64,0)</f>
        <v>1722265.496961501</v>
      </c>
    </row>
    <row r="11" spans="1:8" x14ac:dyDescent="0.25">
      <c r="A11" s="14" t="s">
        <v>352</v>
      </c>
      <c r="B11" s="70">
        <f>IF(Assumptions!$B$67=1,MIN(B9,B10,IFERROR(B6/Assumptions!$B$63/(-PMT(Assumptions!$B$89,Assumptions!$B$71,1)*12),0)),0)</f>
        <v>1532050.360802274</v>
      </c>
      <c r="D11" s="16" t="s">
        <v>353</v>
      </c>
    </row>
    <row r="12" spans="1:8" x14ac:dyDescent="0.25">
      <c r="A12" s="1" t="s">
        <v>354</v>
      </c>
      <c r="B12" s="68">
        <f>IF(Assumptions!$B$67=1,-(IF(Assumptions!$B$68&lt;=1,Acquisition!$B$10,INDEX('Debt Schedule'!D10:DS10,1,Assumptions!$B$68-1))),0)</f>
        <v>-900701.71628305037</v>
      </c>
      <c r="E12" s="136"/>
      <c r="F12" s="137"/>
      <c r="G12" s="136"/>
    </row>
    <row r="13" spans="1:8" x14ac:dyDescent="0.25">
      <c r="A13" s="1" t="s">
        <v>355</v>
      </c>
      <c r="B13" s="68">
        <f>-Assumptions!$B$73*B11</f>
        <v>-15320.50360802274</v>
      </c>
    </row>
    <row r="14" spans="1:8" x14ac:dyDescent="0.25">
      <c r="A14" s="14" t="s">
        <v>356</v>
      </c>
      <c r="B14" s="45">
        <f>B11+B12+B13</f>
        <v>616028.1409112009</v>
      </c>
    </row>
    <row r="15" spans="1:8" x14ac:dyDescent="0.25">
      <c r="A15" s="14" t="s">
        <v>357</v>
      </c>
      <c r="B15" s="73" t="str">
        <f>IF(Assumptions!$B$67=0,"No refinance",IF(B14&gt;1,"POSITIVE CASH-OUT",IF(B14&lt;-1,"ADDITIONAL EQUITY NEEDED","NO CASH-OUT")))</f>
        <v>POSITIVE CASH-OUT</v>
      </c>
    </row>
    <row r="22" spans="4:4" x14ac:dyDescent="0.25">
      <c r="D22" s="129"/>
    </row>
    <row r="23" spans="4:4" x14ac:dyDescent="0.25">
      <c r="D23" s="129"/>
    </row>
  </sheetData>
  <mergeCells count="3">
    <mergeCell ref="A1:E1"/>
    <mergeCell ref="A2:E2"/>
    <mergeCell ref="A4:D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zoomScaleNormal="100" workbookViewId="0">
      <selection activeCell="E7" sqref="E7"/>
    </sheetView>
  </sheetViews>
  <sheetFormatPr defaultColWidth="8.7109375" defaultRowHeight="15" x14ac:dyDescent="0.25"/>
  <cols>
    <col min="1" max="1" width="32" customWidth="1"/>
    <col min="2" max="2" width="16" customWidth="1"/>
    <col min="3" max="12" width="13" customWidth="1"/>
  </cols>
  <sheetData>
    <row r="1" spans="1:12" ht="24" customHeight="1" x14ac:dyDescent="0.25">
      <c r="A1" s="141" t="s">
        <v>358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2" ht="13.5" customHeight="1" x14ac:dyDescent="0.25">
      <c r="A2" s="142" t="s">
        <v>359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4" spans="1:12" x14ac:dyDescent="0.25"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4" t="s">
        <v>360</v>
      </c>
      <c r="C5" s="79">
        <f>SUM('Monthly Operations'!D18:O18)</f>
        <v>330763.06666666677</v>
      </c>
      <c r="D5" s="79">
        <f>SUM('Monthly Operations'!P18:AA18)</f>
        <v>377116.46066666662</v>
      </c>
      <c r="E5" s="79">
        <f>SUM('Monthly Operations'!AB18:AM18)</f>
        <v>392925.23712000001</v>
      </c>
      <c r="F5" s="79">
        <f>SUM('Monthly Operations'!AN18:AY18)</f>
        <v>404620.20303359994</v>
      </c>
      <c r="G5" s="79">
        <f>SUM('Monthly Operations'!AZ18:BK18)</f>
        <v>416663.698144608</v>
      </c>
      <c r="H5" s="79">
        <f>SUM('Monthly Operations'!BL18:BW18)</f>
        <v>429066.12033444626</v>
      </c>
      <c r="I5" s="79">
        <f>SUM('Monthly Operations'!BX18:CI18)</f>
        <v>441838.17797111714</v>
      </c>
      <c r="J5" s="79">
        <f>SUM('Monthly Operations'!CJ18:CU18)</f>
        <v>454990.89918755437</v>
      </c>
      <c r="K5" s="79">
        <f>SUM('Monthly Operations'!CV18:DG18)</f>
        <v>468535.64143741672</v>
      </c>
      <c r="L5" s="79">
        <f>SUM('Monthly Operations'!DH18:DS18)</f>
        <v>482484.10133663105</v>
      </c>
    </row>
    <row r="6" spans="1:12" x14ac:dyDescent="0.25">
      <c r="A6" s="1" t="s">
        <v>361</v>
      </c>
      <c r="C6" s="50">
        <f>SUM('Monthly Operations'!D36:O36)</f>
        <v>-245538.15333333335</v>
      </c>
      <c r="D6" s="50">
        <f>SUM('Monthly Operations'!P36:AA36)</f>
        <v>-253580.82303333329</v>
      </c>
      <c r="E6" s="50">
        <f>SUM('Monthly Operations'!AB36:AM36)</f>
        <v>-260239.38685599997</v>
      </c>
      <c r="F6" s="50">
        <f>SUM('Monthly Operations'!AN36:AY36)</f>
        <v>-266838.96327667998</v>
      </c>
      <c r="G6" s="50">
        <f>SUM('Monthly Operations'!AZ36:BK36)</f>
        <v>-273606.33686035534</v>
      </c>
      <c r="H6" s="50">
        <f>SUM('Monthly Operations'!BL36:BW36)</f>
        <v>-280545.78676867526</v>
      </c>
      <c r="I6" s="50">
        <f>SUM('Monthly Operations'!BX36:CI36)</f>
        <v>-287661.70166930766</v>
      </c>
      <c r="J6" s="50">
        <f>SUM('Monthly Operations'!CJ36:CU36)</f>
        <v>-294958.58254939836</v>
      </c>
      <c r="K6" s="50">
        <f>SUM('Monthly Operations'!CV36:DG36)</f>
        <v>-302441.04560164205</v>
      </c>
      <c r="L6" s="50">
        <f>SUM('Monthly Operations'!DH36:DS36)</f>
        <v>-310113.82518484694</v>
      </c>
    </row>
    <row r="7" spans="1:12" x14ac:dyDescent="0.25">
      <c r="A7" s="54" t="s">
        <v>300</v>
      </c>
      <c r="C7" s="55">
        <f>SUM('Monthly Operations'!D38:O38)</f>
        <v>85224.91333333333</v>
      </c>
      <c r="D7" s="55">
        <f>SUM('Monthly Operations'!P38:AA38)</f>
        <v>123535.63763333336</v>
      </c>
      <c r="E7" s="55">
        <f>SUM('Monthly Operations'!AB38:AM38)</f>
        <v>132685.85026400004</v>
      </c>
      <c r="F7" s="55">
        <f>SUM('Monthly Operations'!AN38:AY38)</f>
        <v>137781.23975692008</v>
      </c>
      <c r="G7" s="55">
        <f>SUM('Monthly Operations'!AZ38:BK38)</f>
        <v>143057.36128425266</v>
      </c>
      <c r="H7" s="55">
        <f>SUM('Monthly Operations'!BL38:BW38)</f>
        <v>148520.33356577094</v>
      </c>
      <c r="I7" s="55">
        <f>SUM('Monthly Operations'!BX38:CI38)</f>
        <v>154176.47630180957</v>
      </c>
      <c r="J7" s="55">
        <f>SUM('Monthly Operations'!CJ38:CU38)</f>
        <v>160032.31663815593</v>
      </c>
      <c r="K7" s="55">
        <f>SUM('Monthly Operations'!CV38:DG38)</f>
        <v>166094.59583577473</v>
      </c>
      <c r="L7" s="55">
        <f>SUM('Monthly Operations'!DH38:DS38)</f>
        <v>172370.27615178411</v>
      </c>
    </row>
    <row r="8" spans="1:12" x14ac:dyDescent="0.25">
      <c r="A8" s="1" t="s">
        <v>362</v>
      </c>
      <c r="C8" s="50">
        <f>SUM('Monthly Operations'!D41:O41)</f>
        <v>-4000.0000000000014</v>
      </c>
      <c r="D8" s="50">
        <f>SUM('Monthly Operations'!P41:AA41)</f>
        <v>-4099.9999999999991</v>
      </c>
      <c r="E8" s="50">
        <f>SUM('Monthly Operations'!AB41:AM41)</f>
        <v>-4202.5000000000009</v>
      </c>
      <c r="F8" s="50">
        <f>SUM('Monthly Operations'!AN41:AY41)</f>
        <v>-4307.5624999999991</v>
      </c>
      <c r="G8" s="50">
        <f>SUM('Monthly Operations'!AZ41:BK41)</f>
        <v>-4415.2515624999996</v>
      </c>
      <c r="H8" s="50">
        <f>SUM('Monthly Operations'!BL41:BW41)</f>
        <v>-4525.6328515624991</v>
      </c>
      <c r="I8" s="50">
        <f>SUM('Monthly Operations'!BX41:CI41)</f>
        <v>-4638.773672851562</v>
      </c>
      <c r="J8" s="50">
        <f>SUM('Monthly Operations'!CJ41:CU41)</f>
        <v>-4754.7430146728502</v>
      </c>
      <c r="K8" s="50">
        <f>SUM('Monthly Operations'!CV41:DG41)</f>
        <v>-4873.6115900396717</v>
      </c>
      <c r="L8" s="50">
        <f>SUM('Monthly Operations'!DH41:DS41)</f>
        <v>-4995.4518797906621</v>
      </c>
    </row>
    <row r="9" spans="1:12" x14ac:dyDescent="0.25">
      <c r="A9" s="52" t="s">
        <v>363</v>
      </c>
      <c r="C9" s="53">
        <f>SUM('Monthly Operations'!D42:O42)</f>
        <v>81224.913333333316</v>
      </c>
      <c r="D9" s="53">
        <f>SUM('Monthly Operations'!P42:AA42)</f>
        <v>119435.63763333339</v>
      </c>
      <c r="E9" s="53">
        <f>SUM('Monthly Operations'!AB42:AM42)</f>
        <v>128483.35026400005</v>
      </c>
      <c r="F9" s="53">
        <f>SUM('Monthly Operations'!AN42:AY42)</f>
        <v>133473.67725692005</v>
      </c>
      <c r="G9" s="53">
        <f>SUM('Monthly Operations'!AZ42:BK42)</f>
        <v>138642.10972175264</v>
      </c>
      <c r="H9" s="53">
        <f>SUM('Monthly Operations'!BL42:BW42)</f>
        <v>143994.70071420848</v>
      </c>
      <c r="I9" s="53">
        <f>SUM('Monthly Operations'!BX42:CI42)</f>
        <v>149537.70262895801</v>
      </c>
      <c r="J9" s="53">
        <f>SUM('Monthly Operations'!CJ42:CU42)</f>
        <v>155277.57362348298</v>
      </c>
      <c r="K9" s="53">
        <f>SUM('Monthly Operations'!CV42:DG42)</f>
        <v>161220.98424573502</v>
      </c>
      <c r="L9" s="53">
        <f>SUM('Monthly Operations'!DH42:DS42)</f>
        <v>167374.82427199345</v>
      </c>
    </row>
    <row r="10" spans="1:12" x14ac:dyDescent="0.25">
      <c r="A10" s="46" t="s">
        <v>301</v>
      </c>
      <c r="C10" s="127">
        <f t="shared" ref="C10:L10" si="0">IFERROR(C7/C5,0)</f>
        <v>0.25766151642081753</v>
      </c>
      <c r="D10" s="127">
        <f t="shared" si="0"/>
        <v>0.32757954244412196</v>
      </c>
      <c r="E10" s="127">
        <f t="shared" si="0"/>
        <v>0.33768726905031443</v>
      </c>
      <c r="F10" s="127">
        <f t="shared" si="0"/>
        <v>0.34051992145700799</v>
      </c>
      <c r="G10" s="127">
        <f t="shared" si="0"/>
        <v>0.34334011319268554</v>
      </c>
      <c r="H10" s="127">
        <f t="shared" si="0"/>
        <v>0.34614789312659566</v>
      </c>
      <c r="I10" s="127">
        <f t="shared" si="0"/>
        <v>0.348943309991397</v>
      </c>
      <c r="J10" s="127">
        <f t="shared" si="0"/>
        <v>0.35172641238300484</v>
      </c>
      <c r="K10" s="127">
        <f t="shared" si="0"/>
        <v>0.3544972487604453</v>
      </c>
      <c r="L10" s="127">
        <f t="shared" si="0"/>
        <v>0.35725586744571441</v>
      </c>
    </row>
    <row r="12" spans="1:12" x14ac:dyDescent="0.25">
      <c r="A12" s="143" t="s">
        <v>364</v>
      </c>
      <c r="B12" s="143"/>
      <c r="C12" s="143"/>
    </row>
    <row r="13" spans="1:12" x14ac:dyDescent="0.25">
      <c r="A13" s="14" t="s">
        <v>3</v>
      </c>
      <c r="B13" s="80">
        <f>Assumptions!$B$8</f>
        <v>1300000</v>
      </c>
    </row>
    <row r="14" spans="1:12" x14ac:dyDescent="0.25">
      <c r="A14" s="1" t="s">
        <v>9</v>
      </c>
      <c r="B14" s="68">
        <f>Valuation!C7</f>
        <v>85224.91333333333</v>
      </c>
    </row>
    <row r="15" spans="1:12" x14ac:dyDescent="0.25">
      <c r="A15" s="14" t="s">
        <v>8</v>
      </c>
      <c r="B15" s="81">
        <f>IFERROR(B14/B13,0)</f>
        <v>6.5557625641025644E-2</v>
      </c>
    </row>
    <row r="16" spans="1:12" x14ac:dyDescent="0.25">
      <c r="A16" s="1" t="s">
        <v>308</v>
      </c>
      <c r="B16" s="68">
        <f>Valuation!E7</f>
        <v>132685.85026400004</v>
      </c>
    </row>
    <row r="17" spans="1:2" x14ac:dyDescent="0.25">
      <c r="A17" s="1" t="s">
        <v>4</v>
      </c>
      <c r="B17" s="68">
        <f>B13/Assumptions!$B$16</f>
        <v>16250</v>
      </c>
    </row>
  </sheetData>
  <mergeCells count="3">
    <mergeCell ref="A1:K1"/>
    <mergeCell ref="A2:K2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zoomScaleNormal="100" workbookViewId="0">
      <selection activeCell="B12" sqref="B12"/>
    </sheetView>
  </sheetViews>
  <sheetFormatPr defaultColWidth="8.7109375" defaultRowHeight="15" x14ac:dyDescent="0.25"/>
  <cols>
    <col min="1" max="1" width="34" customWidth="1"/>
    <col min="2" max="2" width="16" customWidth="1"/>
    <col min="4" max="4" width="40" customWidth="1"/>
    <col min="5" max="5" width="9.5703125" bestFit="1" customWidth="1"/>
    <col min="6" max="6" width="11" bestFit="1" customWidth="1"/>
    <col min="7" max="8" width="9.85546875" bestFit="1" customWidth="1"/>
    <col min="9" max="9" width="6" customWidth="1"/>
    <col min="10" max="10" width="5.85546875" customWidth="1"/>
    <col min="11" max="11" width="9.85546875" bestFit="1" customWidth="1"/>
    <col min="12" max="12" width="10.140625" bestFit="1" customWidth="1"/>
  </cols>
  <sheetData>
    <row r="1" spans="1:12" ht="24" customHeight="1" x14ac:dyDescent="0.25">
      <c r="A1" s="141" t="s">
        <v>365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3.5" customHeight="1" x14ac:dyDescent="0.25">
      <c r="A2" s="142" t="s">
        <v>366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x14ac:dyDescent="0.25">
      <c r="A4" s="143" t="s">
        <v>367</v>
      </c>
      <c r="B4" s="143"/>
      <c r="C4" s="143"/>
      <c r="D4" s="143"/>
    </row>
    <row r="5" spans="1:12" x14ac:dyDescent="0.25">
      <c r="A5" s="1" t="s">
        <v>368</v>
      </c>
      <c r="B5" s="76">
        <f>Assumptions!$B$76</f>
        <v>60</v>
      </c>
    </row>
    <row r="6" spans="1:12" x14ac:dyDescent="0.25">
      <c r="A6" s="1" t="s">
        <v>369</v>
      </c>
      <c r="B6" s="76">
        <f>INT((Assumptions!$B$76-1)/12)+1</f>
        <v>5</v>
      </c>
    </row>
    <row r="7" spans="1:12" x14ac:dyDescent="0.25">
      <c r="A7" s="1" t="s">
        <v>370</v>
      </c>
      <c r="B7" s="68">
        <f>IFERROR(INDEX('Monthly Operations'!D44:DS44,1,Assumptions!$B$76),0)</f>
        <v>148520.33356577094</v>
      </c>
    </row>
    <row r="8" spans="1:12" x14ac:dyDescent="0.25">
      <c r="A8" s="1" t="s">
        <v>57</v>
      </c>
      <c r="B8" s="77">
        <f>Assumptions!$B$12</f>
        <v>6.5000000000000002E-2</v>
      </c>
    </row>
    <row r="9" spans="1:12" x14ac:dyDescent="0.25">
      <c r="A9" s="14" t="s">
        <v>371</v>
      </c>
      <c r="B9" s="78">
        <f>IFERROR(B7/B8,0)</f>
        <v>2284928.2087041684</v>
      </c>
    </row>
    <row r="10" spans="1:12" x14ac:dyDescent="0.25">
      <c r="A10" s="1" t="s">
        <v>372</v>
      </c>
      <c r="B10" s="68">
        <f>-Assumptions!$B$77*B9</f>
        <v>-68547.846261125058</v>
      </c>
    </row>
    <row r="11" spans="1:12" x14ac:dyDescent="0.25">
      <c r="A11" s="1" t="s">
        <v>373</v>
      </c>
      <c r="B11" s="68">
        <f>-Assumptions!$B$78*B9</f>
        <v>-22849.282087041684</v>
      </c>
    </row>
    <row r="12" spans="1:12" x14ac:dyDescent="0.25">
      <c r="A12" s="1" t="s">
        <v>374</v>
      </c>
      <c r="B12" s="68">
        <f>-INDEX('Debt Schedule'!D19:DS19,1,Assumptions!$B$76)</f>
        <v>-1491543.3499311679</v>
      </c>
    </row>
    <row r="13" spans="1:12" x14ac:dyDescent="0.25">
      <c r="A13" s="14" t="s">
        <v>375</v>
      </c>
      <c r="B13" s="45">
        <f>SUM(B9:B12)</f>
        <v>701987.73042483395</v>
      </c>
    </row>
    <row r="16" spans="1:12" x14ac:dyDescent="0.25">
      <c r="A16" s="143" t="s">
        <v>376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</row>
    <row r="17" spans="1:12" ht="25.5" customHeight="1" x14ac:dyDescent="0.25">
      <c r="A17" s="37" t="s">
        <v>369</v>
      </c>
      <c r="B17" s="37" t="s">
        <v>377</v>
      </c>
      <c r="C17" s="37" t="s">
        <v>378</v>
      </c>
      <c r="D17" s="37" t="s">
        <v>379</v>
      </c>
      <c r="E17" s="37" t="s">
        <v>380</v>
      </c>
      <c r="F17" s="37" t="s">
        <v>381</v>
      </c>
      <c r="G17" s="37" t="s">
        <v>382</v>
      </c>
      <c r="H17" s="37" t="s">
        <v>383</v>
      </c>
      <c r="I17" s="37" t="s">
        <v>384</v>
      </c>
      <c r="J17" s="37" t="s">
        <v>385</v>
      </c>
      <c r="K17" s="37" t="s">
        <v>386</v>
      </c>
    </row>
    <row r="18" spans="1:12" x14ac:dyDescent="0.25">
      <c r="A18" s="82">
        <v>1</v>
      </c>
      <c r="B18" s="42">
        <f>INDEX('Monthly Operations'!D44:DS44,1,12)</f>
        <v>123535.63763333336</v>
      </c>
      <c r="C18" s="83">
        <f>Assumptions!$B$12</f>
        <v>6.5000000000000002E-2</v>
      </c>
      <c r="D18" s="42">
        <f t="shared" ref="D18:D27" si="0">IFERROR(B18/C18,0)</f>
        <v>1900548.2712820517</v>
      </c>
      <c r="E18" s="42">
        <f>-(Assumptions!$B$77+Assumptions!$B$78)*D18</f>
        <v>-76021.930851282072</v>
      </c>
      <c r="F18" s="42">
        <f>-INDEX('Debt Schedule'!D19:DS19,1,12)</f>
        <v>-910000</v>
      </c>
      <c r="G18" s="84">
        <f t="shared" ref="G18:G27" si="1">D18+E18+F18</f>
        <v>914526.3404307696</v>
      </c>
      <c r="H18" s="40">
        <f>'Equity Returns'!C24</f>
        <v>936601.25376410293</v>
      </c>
      <c r="I18" s="41">
        <f>'Equity Returns'!N24</f>
        <v>0.56074196594584702</v>
      </c>
      <c r="J18" s="85">
        <f>'Equity Returns'!O24</f>
        <v>1.5607419659458472</v>
      </c>
      <c r="K18" s="40">
        <f>'Equity Returns'!P24</f>
        <v>336501.25376410293</v>
      </c>
    </row>
    <row r="19" spans="1:12" x14ac:dyDescent="0.25">
      <c r="A19" s="82">
        <v>2</v>
      </c>
      <c r="B19" s="42">
        <f>INDEX('Monthly Operations'!D44:DS44,1,24)</f>
        <v>132685.85026400004</v>
      </c>
      <c r="C19" s="83">
        <f>Assumptions!$B$12</f>
        <v>6.5000000000000002E-2</v>
      </c>
      <c r="D19" s="42">
        <f t="shared" si="0"/>
        <v>2041320.7732923082</v>
      </c>
      <c r="E19" s="42">
        <f>-(Assumptions!$B$77+Assumptions!$B$78)*D19</f>
        <v>-81652.830931692326</v>
      </c>
      <c r="F19" s="42">
        <f>-INDEX('Debt Schedule'!D19:DS19,1,24)</f>
        <v>-910000</v>
      </c>
      <c r="G19" s="84">
        <f t="shared" si="1"/>
        <v>1049667.9423606158</v>
      </c>
      <c r="H19" s="40">
        <f>'Equity Returns'!D25</f>
        <v>1109953.5799939493</v>
      </c>
      <c r="I19" s="41">
        <f>'Equity Returns'!N25</f>
        <v>0.37852234224566184</v>
      </c>
      <c r="J19" s="85">
        <f>'Equity Returns'!O25</f>
        <v>1.8863997555862067</v>
      </c>
      <c r="K19" s="40">
        <f>'Equity Returns'!P25</f>
        <v>531928.4933272826</v>
      </c>
      <c r="L19" s="140">
        <f>G19+60286</f>
        <v>1109953.9423606158</v>
      </c>
    </row>
    <row r="20" spans="1:12" x14ac:dyDescent="0.25">
      <c r="A20" s="82">
        <v>3</v>
      </c>
      <c r="B20" s="42">
        <f>INDEX('Monthly Operations'!D44:DS44,1,36)</f>
        <v>137781.23975692008</v>
      </c>
      <c r="C20" s="83">
        <f>Assumptions!$B$12</f>
        <v>6.5000000000000002E-2</v>
      </c>
      <c r="D20" s="42">
        <f t="shared" si="0"/>
        <v>2119711.3808756936</v>
      </c>
      <c r="E20" s="42">
        <f>-(Assumptions!$B$77+Assumptions!$B$78)*D20</f>
        <v>-84788.455235027752</v>
      </c>
      <c r="F20" s="42">
        <f>-INDEX('Debt Schedule'!D19:DS19,1,36)</f>
        <v>-1530525.1966224907</v>
      </c>
      <c r="G20" s="84">
        <f t="shared" si="1"/>
        <v>504397.72901817528</v>
      </c>
      <c r="H20" s="40">
        <f>'Equity Returns'!E26</f>
        <v>1176453.7950579359</v>
      </c>
      <c r="I20" s="41">
        <f>'Equity Returns'!N26</f>
        <v>0.29094732124649836</v>
      </c>
      <c r="J20" s="85">
        <f>'Equity Returns'!O26</f>
        <v>2.0976742976580613</v>
      </c>
      <c r="K20" s="40">
        <f>'Equity Returns'!P26</f>
        <v>658714.34602460265</v>
      </c>
      <c r="L20">
        <v>22075</v>
      </c>
    </row>
    <row r="21" spans="1:12" x14ac:dyDescent="0.25">
      <c r="A21" s="82">
        <v>4</v>
      </c>
      <c r="B21" s="42">
        <f>INDEX('Monthly Operations'!D44:DS44,1,48)</f>
        <v>143057.36128425266</v>
      </c>
      <c r="C21" s="83">
        <f>Assumptions!$B$12</f>
        <v>6.5000000000000002E-2</v>
      </c>
      <c r="D21" s="42">
        <f t="shared" si="0"/>
        <v>2200882.4812961947</v>
      </c>
      <c r="E21" s="42">
        <f>-(Assumptions!$B$77+Assumptions!$B$78)*D21</f>
        <v>-88035.299251847784</v>
      </c>
      <c r="F21" s="42">
        <f>-INDEX('Debt Schedule'!D19:DS19,1,48)</f>
        <v>-1511617.3699645177</v>
      </c>
      <c r="G21" s="84">
        <f t="shared" si="1"/>
        <v>601229.81207982916</v>
      </c>
      <c r="H21" s="40">
        <f>'Equity Returns'!F27</f>
        <v>624478.49753121322</v>
      </c>
      <c r="I21" s="41">
        <f>'Equity Returns'!N27</f>
        <v>0.28458014255543396</v>
      </c>
      <c r="J21" s="85">
        <f>'Equity Returns'!O27</f>
        <v>2.2977755616357949</v>
      </c>
      <c r="K21" s="40">
        <f>'Equity Returns'!P27</f>
        <v>778795.11453764047</v>
      </c>
      <c r="L21" s="140">
        <f>SUM(L19:L20)</f>
        <v>1132028.9423606158</v>
      </c>
    </row>
    <row r="22" spans="1:12" x14ac:dyDescent="0.25">
      <c r="A22" s="82">
        <v>5</v>
      </c>
      <c r="B22" s="42">
        <f>INDEX('Monthly Operations'!D44:DS44,1,60)</f>
        <v>148520.33356577094</v>
      </c>
      <c r="C22" s="83">
        <f>Assumptions!$B$12</f>
        <v>6.5000000000000002E-2</v>
      </c>
      <c r="D22" s="42">
        <f t="shared" si="0"/>
        <v>2284928.2087041684</v>
      </c>
      <c r="E22" s="42">
        <f>-(Assumptions!$B$77+Assumptions!$B$78)*D22</f>
        <v>-91397.128348166734</v>
      </c>
      <c r="F22" s="42">
        <f>-INDEX('Debt Schedule'!D19:DS19,1,60)</f>
        <v>-1491543.3499311679</v>
      </c>
      <c r="G22" s="84">
        <f t="shared" si="1"/>
        <v>701987.73042483395</v>
      </c>
      <c r="H22" s="40">
        <f>'Equity Returns'!G28</f>
        <v>730404.84834105056</v>
      </c>
      <c r="I22" s="41">
        <f>'Equity Returns'!N28</f>
        <v>0.27741656061743103</v>
      </c>
      <c r="J22" s="85">
        <f>'Equity Returns'!O28</f>
        <v>2.5130314127626425</v>
      </c>
      <c r="K22" s="40">
        <f>'Equity Returns'!P28</f>
        <v>907970.15079886187</v>
      </c>
    </row>
    <row r="23" spans="1:12" x14ac:dyDescent="0.25">
      <c r="A23" s="82">
        <v>6</v>
      </c>
      <c r="B23" s="42">
        <f>INDEX('Monthly Operations'!D44:DS44,1,72)</f>
        <v>154176.47630180957</v>
      </c>
      <c r="C23" s="83">
        <f>Assumptions!$B$12</f>
        <v>6.5000000000000002E-2</v>
      </c>
      <c r="D23" s="42">
        <f t="shared" si="0"/>
        <v>2371945.7892586086</v>
      </c>
      <c r="E23" s="42">
        <f>-(Assumptions!$B$77+Assumptions!$B$78)*D23</f>
        <v>-94877.831570344351</v>
      </c>
      <c r="F23" s="42">
        <f>-INDEX('Debt Schedule'!D19:DS19,1,72)</f>
        <v>-1470231.2082668371</v>
      </c>
      <c r="G23" s="84">
        <f t="shared" si="1"/>
        <v>806836.74942142703</v>
      </c>
      <c r="H23" s="40">
        <f>'Equity Returns'!H29</f>
        <v>840606.45833009947</v>
      </c>
      <c r="I23" s="41">
        <f>'Equity Returns'!N29</f>
        <v>0.27033932522049309</v>
      </c>
      <c r="J23" s="85">
        <f>'Equity Returns'!O29</f>
        <v>2.7440241271523536</v>
      </c>
      <c r="K23" s="40">
        <f>'Equity Returns'!P29</f>
        <v>1046588.8787041274</v>
      </c>
    </row>
    <row r="24" spans="1:12" x14ac:dyDescent="0.25">
      <c r="A24" s="82">
        <v>7</v>
      </c>
      <c r="B24" s="42">
        <f>INDEX('Monthly Operations'!D44:DS44,1,84)</f>
        <v>160032.31663815593</v>
      </c>
      <c r="C24" s="83">
        <f>Assumptions!$B$12</f>
        <v>6.5000000000000002E-2</v>
      </c>
      <c r="D24" s="42">
        <f t="shared" si="0"/>
        <v>2462035.6405870141</v>
      </c>
      <c r="E24" s="42">
        <f>-(Assumptions!$B$77+Assumptions!$B$78)*D24</f>
        <v>-98481.425623480565</v>
      </c>
      <c r="F24" s="42">
        <f>-INDEX('Debt Schedule'!D19:DS19,1,84)</f>
        <v>-1447604.5803385039</v>
      </c>
      <c r="G24" s="84">
        <f t="shared" si="1"/>
        <v>915949.63462502952</v>
      </c>
      <c r="H24" s="40">
        <f>'Equity Returns'!I30</f>
        <v>955262.34544845147</v>
      </c>
      <c r="I24" s="41">
        <f>'Equity Returns'!N30</f>
        <v>0.26369183679454222</v>
      </c>
      <c r="J24" s="85">
        <f>'Equity Returns'!O30</f>
        <v>2.9913588980689085</v>
      </c>
      <c r="K24" s="40">
        <f>'Equity Returns'!P30</f>
        <v>1195014.4747311519</v>
      </c>
    </row>
    <row r="25" spans="1:12" x14ac:dyDescent="0.25">
      <c r="A25" s="82">
        <v>8</v>
      </c>
      <c r="B25" s="42">
        <f>INDEX('Monthly Operations'!D44:DS44,1,96)</f>
        <v>166094.59583577473</v>
      </c>
      <c r="C25" s="83">
        <f>Assumptions!$B$12</f>
        <v>6.5000000000000002E-2</v>
      </c>
      <c r="D25" s="42">
        <f t="shared" si="0"/>
        <v>2555301.4743965343</v>
      </c>
      <c r="E25" s="42">
        <f>-(Assumptions!$B$77+Assumptions!$B$78)*D25</f>
        <v>-102212.05897586138</v>
      </c>
      <c r="F25" s="42">
        <f>-INDEX('Debt Schedule'!D19:DS19,1,96)</f>
        <v>-1423582.3915096791</v>
      </c>
      <c r="G25" s="84">
        <f t="shared" si="1"/>
        <v>1029507.0239109937</v>
      </c>
      <c r="H25" s="40">
        <f>'Equity Returns'!J31</f>
        <v>1074559.6057289406</v>
      </c>
      <c r="I25" s="41">
        <f>'Equity Returns'!N31</f>
        <v>0.25758923667805944</v>
      </c>
      <c r="J25" s="85">
        <f>'Equity Returns'!O31</f>
        <v>3.255664798925284</v>
      </c>
      <c r="K25" s="40">
        <f>'Equity Returns'!P31</f>
        <v>1353624.445835063</v>
      </c>
    </row>
    <row r="26" spans="1:12" x14ac:dyDescent="0.25">
      <c r="A26" s="82">
        <v>9</v>
      </c>
      <c r="B26" s="42">
        <f>INDEX('Monthly Operations'!D44:DS44,1,108)</f>
        <v>172370.27615178411</v>
      </c>
      <c r="C26" s="83">
        <f>Assumptions!$B$12</f>
        <v>6.5000000000000002E-2</v>
      </c>
      <c r="D26" s="42">
        <f t="shared" si="0"/>
        <v>2651850.4023351399</v>
      </c>
      <c r="E26" s="42">
        <f>-(Assumptions!$B$77+Assumptions!$B$78)*D26</f>
        <v>-106074.0160934056</v>
      </c>
      <c r="F26" s="42">
        <f>-INDEX('Debt Schedule'!D19:DS19,1,108)</f>
        <v>-1398078.5666376969</v>
      </c>
      <c r="G26" s="84">
        <f t="shared" si="1"/>
        <v>1147697.8196040376</v>
      </c>
      <c r="H26" s="40">
        <f>'Equity Returns'!K32</f>
        <v>1198693.8120442366</v>
      </c>
      <c r="I26" s="41">
        <f>'Equity Returns'!N32</f>
        <v>0.25204830424312918</v>
      </c>
      <c r="J26" s="85">
        <f>'Equity Returns'!O32</f>
        <v>3.537595790648735</v>
      </c>
      <c r="K26" s="40">
        <f>'Equity Returns'!P32</f>
        <v>1522811.2339683059</v>
      </c>
    </row>
    <row r="27" spans="1:12" x14ac:dyDescent="0.25">
      <c r="A27" s="82">
        <v>10</v>
      </c>
      <c r="B27" s="42">
        <f>INDEX('Monthly Operations'!D44:DS44,1,120)</f>
        <v>172370.27615178411</v>
      </c>
      <c r="C27" s="83">
        <f>Assumptions!$B$12</f>
        <v>6.5000000000000002E-2</v>
      </c>
      <c r="D27" s="42">
        <f t="shared" si="0"/>
        <v>2651850.4023351399</v>
      </c>
      <c r="E27" s="42">
        <f>-(Assumptions!$B$77+Assumptions!$B$78)*D27</f>
        <v>-106074.0160934056</v>
      </c>
      <c r="F27" s="42">
        <f>-INDEX('Debt Schedule'!D19:DS19,1,120)</f>
        <v>-1371001.7216534351</v>
      </c>
      <c r="G27" s="84">
        <f t="shared" si="1"/>
        <v>1174774.6645882993</v>
      </c>
      <c r="H27" s="40">
        <f>'Equity Returns'!L33</f>
        <v>1231924.4970547569</v>
      </c>
      <c r="I27" s="41">
        <f>'Equity Returns'!N33</f>
        <v>0.2424330949026694</v>
      </c>
      <c r="J27" s="85">
        <f>'Equity Returns'!O33</f>
        <v>3.6779501939993753</v>
      </c>
      <c r="K27" s="40">
        <f>'Equity Returns'!P33</f>
        <v>1607037.9114190252</v>
      </c>
    </row>
  </sheetData>
  <mergeCells count="4">
    <mergeCell ref="A1:L1"/>
    <mergeCell ref="A2:L2"/>
    <mergeCell ref="A4:D4"/>
    <mergeCell ref="A16:L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opLeftCell="A7" zoomScaleNormal="100" workbookViewId="0">
      <selection activeCell="B10" sqref="B10"/>
    </sheetView>
  </sheetViews>
  <sheetFormatPr defaultColWidth="8.7109375" defaultRowHeight="15" x14ac:dyDescent="0.25"/>
  <cols>
    <col min="1" max="1" width="34" customWidth="1"/>
    <col min="2" max="2" width="16" customWidth="1"/>
    <col min="3" max="3" width="10" customWidth="1"/>
    <col min="4" max="4" width="40" customWidth="1"/>
  </cols>
  <sheetData>
    <row r="1" spans="1:6" ht="24" customHeight="1" x14ac:dyDescent="0.25">
      <c r="A1" s="141" t="s">
        <v>305</v>
      </c>
      <c r="B1" s="141"/>
      <c r="C1" s="141"/>
      <c r="D1" s="141"/>
      <c r="E1" s="141"/>
      <c r="F1" s="141"/>
    </row>
    <row r="2" spans="1:6" ht="13.5" customHeight="1" x14ac:dyDescent="0.25">
      <c r="A2" s="142" t="s">
        <v>306</v>
      </c>
      <c r="B2" s="142"/>
      <c r="C2" s="142"/>
      <c r="D2" s="142"/>
      <c r="E2" s="142"/>
      <c r="F2" s="142"/>
    </row>
    <row r="4" spans="1:6" x14ac:dyDescent="0.25">
      <c r="A4" s="122" t="s">
        <v>307</v>
      </c>
      <c r="B4" s="122"/>
      <c r="C4" s="122"/>
      <c r="D4" s="122"/>
    </row>
    <row r="5" spans="1:6" x14ac:dyDescent="0.25">
      <c r="A5" s="1" t="s">
        <v>308</v>
      </c>
      <c r="B5" s="68">
        <f>Valuation!E7</f>
        <v>132685.85026400004</v>
      </c>
      <c r="D5" s="16" t="s">
        <v>309</v>
      </c>
    </row>
    <row r="6" spans="1:6" x14ac:dyDescent="0.25">
      <c r="A6" s="1" t="s">
        <v>310</v>
      </c>
      <c r="B6" s="69">
        <f>-PMT(Assumptions!$B$88,Assumptions!$B$59,1)*12</f>
        <v>7.5848162819155657E-2</v>
      </c>
      <c r="D6" s="16" t="s">
        <v>311</v>
      </c>
    </row>
    <row r="7" spans="1:6" x14ac:dyDescent="0.25">
      <c r="A7" s="1" t="s">
        <v>312</v>
      </c>
      <c r="B7" s="68">
        <f>Assumptions!$B$58*Assumptions!$B$8</f>
        <v>910000</v>
      </c>
    </row>
    <row r="8" spans="1:6" x14ac:dyDescent="0.25">
      <c r="A8" s="1" t="s">
        <v>313</v>
      </c>
      <c r="B8" s="68">
        <f>IFERROR(B5/Assumptions!$B$64,0)</f>
        <v>1658573.1283000004</v>
      </c>
    </row>
    <row r="9" spans="1:6" x14ac:dyDescent="0.25">
      <c r="A9" s="1" t="s">
        <v>314</v>
      </c>
      <c r="B9" s="68">
        <f>IFERROR(B5/Assumptions!$B$63/B6,0)</f>
        <v>1399489.1407493907</v>
      </c>
    </row>
    <row r="10" spans="1:6" x14ac:dyDescent="0.25">
      <c r="A10" s="14" t="s">
        <v>315</v>
      </c>
      <c r="B10" s="70">
        <f>MIN(B7,B8,B9)</f>
        <v>910000</v>
      </c>
    </row>
    <row r="12" spans="1:6" x14ac:dyDescent="0.25">
      <c r="A12" s="143" t="s">
        <v>316</v>
      </c>
      <c r="B12" s="143"/>
      <c r="C12" s="143"/>
      <c r="D12" s="143"/>
    </row>
    <row r="13" spans="1:6" x14ac:dyDescent="0.25">
      <c r="A13" s="1" t="s">
        <v>3</v>
      </c>
      <c r="B13" s="68">
        <f>Assumptions!$B$8</f>
        <v>1300000</v>
      </c>
    </row>
    <row r="14" spans="1:6" x14ac:dyDescent="0.25">
      <c r="A14" s="1" t="s">
        <v>317</v>
      </c>
      <c r="B14" s="68">
        <f>Assumptions!$B$87</f>
        <v>26000</v>
      </c>
    </row>
    <row r="15" spans="1:6" x14ac:dyDescent="0.25">
      <c r="A15" s="1" t="s">
        <v>318</v>
      </c>
      <c r="B15" s="68">
        <f>Assumptions!$B$62*B10</f>
        <v>9100</v>
      </c>
    </row>
    <row r="16" spans="1:6" x14ac:dyDescent="0.25">
      <c r="A16" s="1" t="s">
        <v>319</v>
      </c>
      <c r="B16" s="68">
        <f>Assumptions!$B$56</f>
        <v>175000</v>
      </c>
    </row>
    <row r="17" spans="1:4" x14ac:dyDescent="0.25">
      <c r="A17" s="1" t="s">
        <v>320</v>
      </c>
      <c r="B17" s="71">
        <v>0</v>
      </c>
    </row>
    <row r="18" spans="1:4" x14ac:dyDescent="0.25">
      <c r="A18" s="14" t="s">
        <v>321</v>
      </c>
      <c r="B18" s="45">
        <f>SUM(B13:B17)</f>
        <v>1510100</v>
      </c>
    </row>
    <row r="20" spans="1:4" x14ac:dyDescent="0.25">
      <c r="A20" s="143" t="s">
        <v>322</v>
      </c>
      <c r="B20" s="143"/>
      <c r="C20" s="143"/>
      <c r="D20" s="143"/>
    </row>
    <row r="21" spans="1:4" x14ac:dyDescent="0.25">
      <c r="A21" s="1" t="s">
        <v>11</v>
      </c>
      <c r="B21" s="68">
        <f>B10</f>
        <v>910000</v>
      </c>
    </row>
    <row r="22" spans="1:4" x14ac:dyDescent="0.25">
      <c r="A22" s="1" t="s">
        <v>323</v>
      </c>
      <c r="B22" s="71">
        <v>0</v>
      </c>
    </row>
    <row r="23" spans="1:4" x14ac:dyDescent="0.25">
      <c r="A23" s="14" t="s">
        <v>324</v>
      </c>
      <c r="B23" s="70">
        <f>B18-B21-B22</f>
        <v>600100</v>
      </c>
    </row>
    <row r="24" spans="1:4" x14ac:dyDescent="0.25">
      <c r="A24" s="14" t="s">
        <v>325</v>
      </c>
      <c r="B24" s="45">
        <f>SUM(B21:B23)</f>
        <v>1510100</v>
      </c>
    </row>
    <row r="26" spans="1:4" x14ac:dyDescent="0.25">
      <c r="A26" s="14" t="s">
        <v>326</v>
      </c>
      <c r="B26" s="72">
        <f>IFERROR(B10/Assumptions!$B$8,0)</f>
        <v>0.7</v>
      </c>
    </row>
    <row r="27" spans="1:4" x14ac:dyDescent="0.25">
      <c r="A27" s="14" t="s">
        <v>327</v>
      </c>
      <c r="B27" s="73" t="str">
        <f>IF(ABS(B24-B18)&lt;1,"OK","ERROR")</f>
        <v>OK</v>
      </c>
    </row>
  </sheetData>
  <mergeCells count="4">
    <mergeCell ref="A1:F1"/>
    <mergeCell ref="A2:F2"/>
    <mergeCell ref="A12:D12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"/>
  <sheetViews>
    <sheetView showGridLines="0" topLeftCell="A59" zoomScaleNormal="100" workbookViewId="0">
      <selection activeCell="B67" sqref="B67"/>
    </sheetView>
  </sheetViews>
  <sheetFormatPr defaultColWidth="8.7109375" defaultRowHeight="15" x14ac:dyDescent="0.25"/>
  <cols>
    <col min="1" max="1" width="40" customWidth="1"/>
    <col min="2" max="2" width="15" customWidth="1"/>
    <col min="3" max="6" width="13" customWidth="1"/>
    <col min="7" max="7" width="4" customWidth="1"/>
    <col min="8" max="8" width="45.28515625" customWidth="1"/>
  </cols>
  <sheetData>
    <row r="1" spans="1:9" ht="24" customHeight="1" x14ac:dyDescent="0.25">
      <c r="A1" s="141" t="s">
        <v>41</v>
      </c>
      <c r="B1" s="141"/>
      <c r="C1" s="141"/>
      <c r="D1" s="141"/>
      <c r="E1" s="141"/>
      <c r="F1" s="141"/>
      <c r="G1" s="141"/>
      <c r="H1" s="141"/>
    </row>
    <row r="2" spans="1:9" ht="13.5" customHeight="1" x14ac:dyDescent="0.25">
      <c r="A2" s="142" t="s">
        <v>42</v>
      </c>
      <c r="B2" s="142"/>
      <c r="C2" s="142"/>
      <c r="D2" s="142"/>
      <c r="E2" s="142"/>
      <c r="F2" s="142"/>
      <c r="G2" s="142"/>
      <c r="H2" s="142"/>
    </row>
    <row r="4" spans="1:9" ht="15.75" customHeight="1" x14ac:dyDescent="0.25">
      <c r="A4" s="144" t="s">
        <v>43</v>
      </c>
      <c r="B4" s="144"/>
      <c r="C4" s="144"/>
      <c r="D4" s="144"/>
      <c r="E4" s="144"/>
      <c r="F4" s="144"/>
      <c r="G4" s="144"/>
      <c r="H4" s="144"/>
    </row>
    <row r="5" spans="1:9" x14ac:dyDescent="0.25">
      <c r="A5" s="14" t="s">
        <v>44</v>
      </c>
      <c r="B5" s="15">
        <v>2</v>
      </c>
      <c r="H5" s="16" t="s">
        <v>45</v>
      </c>
    </row>
    <row r="6" spans="1:9" x14ac:dyDescent="0.25">
      <c r="A6" s="17" t="s">
        <v>46</v>
      </c>
      <c r="B6" s="18" t="str">
        <f>CHOOSE($B$5,"DOWNSIDE","BASE CASE","UPSIDE")</f>
        <v>BASE CASE</v>
      </c>
      <c r="H6" s="16" t="s">
        <v>510</v>
      </c>
    </row>
    <row r="7" spans="1:9" x14ac:dyDescent="0.25">
      <c r="A7" s="14" t="s">
        <v>47</v>
      </c>
      <c r="B7" s="19" t="s">
        <v>48</v>
      </c>
      <c r="D7" s="19" t="s">
        <v>49</v>
      </c>
      <c r="E7" s="19" t="s">
        <v>50</v>
      </c>
      <c r="F7" s="19" t="s">
        <v>51</v>
      </c>
      <c r="H7" s="16" t="s">
        <v>511</v>
      </c>
    </row>
    <row r="8" spans="1:9" x14ac:dyDescent="0.25">
      <c r="A8" s="1" t="s">
        <v>52</v>
      </c>
      <c r="B8" s="20">
        <f>CHOOSE($B$5,D8,E8,F8)</f>
        <v>1300000</v>
      </c>
      <c r="D8" s="21">
        <v>1450000</v>
      </c>
      <c r="E8" s="21">
        <v>1300000</v>
      </c>
      <c r="F8" s="21">
        <v>1200000</v>
      </c>
      <c r="H8" s="16" t="s">
        <v>53</v>
      </c>
    </row>
    <row r="9" spans="1:9" x14ac:dyDescent="0.25">
      <c r="A9" s="1" t="s">
        <v>54</v>
      </c>
      <c r="B9" s="22">
        <v>0.92</v>
      </c>
      <c r="D9" s="23">
        <v>0.85</v>
      </c>
      <c r="E9" s="23">
        <v>0.92</v>
      </c>
      <c r="F9" s="23">
        <v>0.95</v>
      </c>
      <c r="H9" s="123" t="s">
        <v>530</v>
      </c>
    </row>
    <row r="10" spans="1:9" x14ac:dyDescent="0.25">
      <c r="A10" s="1" t="s">
        <v>55</v>
      </c>
      <c r="B10" s="22">
        <f t="shared" ref="B10:B13" si="0">CHOOSE($B$5,D10,E10,F10)</f>
        <v>0.03</v>
      </c>
      <c r="D10" s="23">
        <v>0.02</v>
      </c>
      <c r="E10" s="23">
        <v>0.03</v>
      </c>
      <c r="F10" s="23">
        <v>0.04</v>
      </c>
      <c r="H10" s="16" t="s">
        <v>511</v>
      </c>
    </row>
    <row r="11" spans="1:9" x14ac:dyDescent="0.25">
      <c r="A11" s="1" t="s">
        <v>56</v>
      </c>
      <c r="B11" s="22">
        <f t="shared" si="0"/>
        <v>2.5000000000000001E-2</v>
      </c>
      <c r="D11" s="23">
        <v>3.5000000000000003E-2</v>
      </c>
      <c r="E11" s="23">
        <v>2.5000000000000001E-2</v>
      </c>
      <c r="F11" s="23">
        <v>0.02</v>
      </c>
    </row>
    <row r="12" spans="1:9" x14ac:dyDescent="0.25">
      <c r="A12" s="1" t="s">
        <v>57</v>
      </c>
      <c r="B12" s="22">
        <f t="shared" si="0"/>
        <v>6.5000000000000002E-2</v>
      </c>
      <c r="D12" s="23">
        <v>7.4999999999999997E-2</v>
      </c>
      <c r="E12" s="23">
        <v>6.5000000000000002E-2</v>
      </c>
      <c r="F12" s="23">
        <v>0.06</v>
      </c>
      <c r="H12" s="16" t="s">
        <v>512</v>
      </c>
      <c r="I12" s="123" t="s">
        <v>513</v>
      </c>
    </row>
    <row r="13" spans="1:9" x14ac:dyDescent="0.25">
      <c r="A13" s="1" t="s">
        <v>58</v>
      </c>
      <c r="B13" s="22">
        <f t="shared" si="0"/>
        <v>6.5000000000000002E-2</v>
      </c>
      <c r="D13" s="23">
        <v>7.4999999999999997E-2</v>
      </c>
      <c r="E13" s="23">
        <v>6.5000000000000002E-2</v>
      </c>
      <c r="F13" s="23">
        <v>0.06</v>
      </c>
    </row>
    <row r="14" spans="1:9" ht="15.75" customHeight="1" x14ac:dyDescent="0.25">
      <c r="A14" s="144" t="s">
        <v>59</v>
      </c>
      <c r="B14" s="144"/>
      <c r="C14" s="144"/>
      <c r="D14" s="144"/>
      <c r="E14" s="144"/>
      <c r="F14" s="144"/>
      <c r="G14" s="144"/>
      <c r="H14" s="144"/>
    </row>
    <row r="15" spans="1:9" x14ac:dyDescent="0.25">
      <c r="A15" s="1" t="s">
        <v>60</v>
      </c>
      <c r="B15" s="24">
        <f>DATE(2026,1,1)</f>
        <v>46023</v>
      </c>
      <c r="H15" s="16" t="s">
        <v>61</v>
      </c>
    </row>
    <row r="16" spans="1:9" x14ac:dyDescent="0.25">
      <c r="A16" s="1" t="s">
        <v>62</v>
      </c>
      <c r="B16" s="25">
        <v>80</v>
      </c>
      <c r="H16" s="16" t="s">
        <v>63</v>
      </c>
    </row>
    <row r="17" spans="1:13" x14ac:dyDescent="0.25">
      <c r="A17" s="1" t="s">
        <v>64</v>
      </c>
      <c r="B17" s="26">
        <v>60</v>
      </c>
      <c r="H17" s="16" t="s">
        <v>65</v>
      </c>
    </row>
    <row r="18" spans="1:13" x14ac:dyDescent="0.25">
      <c r="A18" s="1" t="s">
        <v>66</v>
      </c>
      <c r="B18" s="27">
        <f>Assumptions!$B$16-Assumptions!$B$17</f>
        <v>20</v>
      </c>
    </row>
    <row r="19" spans="1:13" x14ac:dyDescent="0.25">
      <c r="A19" s="1" t="s">
        <v>67</v>
      </c>
      <c r="B19" s="26">
        <v>10</v>
      </c>
      <c r="H19" s="16" t="s">
        <v>68</v>
      </c>
    </row>
    <row r="20" spans="1:13" x14ac:dyDescent="0.25">
      <c r="A20" s="1" t="s">
        <v>69</v>
      </c>
      <c r="B20" s="26">
        <v>8</v>
      </c>
    </row>
    <row r="21" spans="1:13" x14ac:dyDescent="0.25">
      <c r="A21" s="1" t="s">
        <v>70</v>
      </c>
      <c r="B21" s="27">
        <f>Assumptions!$B$19-Assumptions!$B$20</f>
        <v>2</v>
      </c>
    </row>
    <row r="22" spans="1:13" ht="15.75" customHeight="1" x14ac:dyDescent="0.25">
      <c r="A22" s="144" t="s">
        <v>71</v>
      </c>
      <c r="B22" s="144"/>
      <c r="C22" s="144"/>
      <c r="D22" s="144"/>
      <c r="E22" s="144"/>
      <c r="F22" s="144"/>
      <c r="G22" s="144"/>
      <c r="H22" s="144"/>
    </row>
    <row r="23" spans="1:13" x14ac:dyDescent="0.25">
      <c r="A23" s="1" t="s">
        <v>72</v>
      </c>
      <c r="B23" s="28">
        <v>350</v>
      </c>
      <c r="H23" s="16" t="s">
        <v>73</v>
      </c>
    </row>
    <row r="24" spans="1:13" x14ac:dyDescent="0.25">
      <c r="A24" s="1" t="s">
        <v>74</v>
      </c>
      <c r="B24" s="29">
        <v>425</v>
      </c>
      <c r="H24" s="123" t="s">
        <v>514</v>
      </c>
      <c r="M24" s="123" t="s">
        <v>515</v>
      </c>
    </row>
    <row r="25" spans="1:13" x14ac:dyDescent="0.25">
      <c r="A25" s="1" t="s">
        <v>75</v>
      </c>
      <c r="B25" s="29">
        <v>350</v>
      </c>
      <c r="H25" s="16" t="s">
        <v>76</v>
      </c>
      <c r="M25" s="123" t="s">
        <v>516</v>
      </c>
    </row>
    <row r="26" spans="1:13" x14ac:dyDescent="0.25">
      <c r="A26" s="1" t="s">
        <v>77</v>
      </c>
      <c r="B26" s="29">
        <v>20</v>
      </c>
      <c r="H26" s="16" t="s">
        <v>78</v>
      </c>
      <c r="M26" s="123" t="s">
        <v>517</v>
      </c>
    </row>
    <row r="27" spans="1:13" x14ac:dyDescent="0.25">
      <c r="A27" s="1" t="s">
        <v>79</v>
      </c>
      <c r="B27" s="29">
        <v>15</v>
      </c>
      <c r="H27" s="16" t="s">
        <v>80</v>
      </c>
    </row>
    <row r="28" spans="1:13" x14ac:dyDescent="0.25">
      <c r="A28" s="1" t="s">
        <v>81</v>
      </c>
      <c r="B28" s="30">
        <v>0.01</v>
      </c>
    </row>
    <row r="29" spans="1:13" x14ac:dyDescent="0.25">
      <c r="A29" s="1" t="s">
        <v>82</v>
      </c>
      <c r="B29" s="25">
        <v>18</v>
      </c>
      <c r="H29" s="123" t="s">
        <v>531</v>
      </c>
      <c r="L29" s="123" t="s">
        <v>518</v>
      </c>
    </row>
    <row r="30" spans="1:13" x14ac:dyDescent="0.25">
      <c r="A30" s="1" t="s">
        <v>83</v>
      </c>
      <c r="B30" s="30">
        <v>2.5000000000000001E-2</v>
      </c>
    </row>
    <row r="31" spans="1:13" ht="15.75" customHeight="1" x14ac:dyDescent="0.25">
      <c r="A31" s="144" t="s">
        <v>84</v>
      </c>
      <c r="B31" s="144"/>
      <c r="C31" s="144"/>
      <c r="D31" s="144"/>
      <c r="E31" s="144"/>
      <c r="F31" s="144"/>
      <c r="G31" s="144"/>
      <c r="H31" s="144"/>
    </row>
    <row r="32" spans="1:13" x14ac:dyDescent="0.25">
      <c r="A32" s="1" t="s">
        <v>85</v>
      </c>
      <c r="B32" s="29">
        <v>45000</v>
      </c>
    </row>
    <row r="33" spans="1:8" x14ac:dyDescent="0.25">
      <c r="A33" s="1" t="s">
        <v>86</v>
      </c>
      <c r="B33" s="29">
        <v>20000</v>
      </c>
    </row>
    <row r="34" spans="1:8" x14ac:dyDescent="0.25">
      <c r="A34" s="1" t="s">
        <v>87</v>
      </c>
      <c r="B34" s="29">
        <v>12000</v>
      </c>
    </row>
    <row r="35" spans="1:8" x14ac:dyDescent="0.25">
      <c r="A35" s="1" t="s">
        <v>88</v>
      </c>
      <c r="B35" s="29">
        <v>3000</v>
      </c>
    </row>
    <row r="36" spans="1:8" x14ac:dyDescent="0.25">
      <c r="A36" s="1" t="s">
        <v>89</v>
      </c>
      <c r="B36" s="29">
        <v>30000</v>
      </c>
    </row>
    <row r="37" spans="1:8" x14ac:dyDescent="0.25">
      <c r="A37" s="1" t="s">
        <v>90</v>
      </c>
      <c r="B37" s="29">
        <v>25000</v>
      </c>
    </row>
    <row r="38" spans="1:8" x14ac:dyDescent="0.25">
      <c r="A38" s="1" t="s">
        <v>91</v>
      </c>
      <c r="B38" s="29">
        <v>35000</v>
      </c>
    </row>
    <row r="39" spans="1:8" x14ac:dyDescent="0.25">
      <c r="A39" s="1" t="s">
        <v>92</v>
      </c>
      <c r="B39" s="29">
        <v>4000</v>
      </c>
    </row>
    <row r="40" spans="1:8" x14ac:dyDescent="0.25">
      <c r="A40" s="1" t="s">
        <v>93</v>
      </c>
      <c r="B40" s="29">
        <v>8000</v>
      </c>
    </row>
    <row r="41" spans="1:8" x14ac:dyDescent="0.25">
      <c r="A41" s="1" t="s">
        <v>94</v>
      </c>
      <c r="B41" s="29">
        <v>6000</v>
      </c>
    </row>
    <row r="42" spans="1:8" x14ac:dyDescent="0.25">
      <c r="A42" s="1" t="s">
        <v>95</v>
      </c>
      <c r="B42" s="29">
        <v>10000</v>
      </c>
    </row>
    <row r="43" spans="1:8" x14ac:dyDescent="0.25">
      <c r="A43" s="1" t="s">
        <v>96</v>
      </c>
      <c r="B43" s="29">
        <v>5000</v>
      </c>
    </row>
    <row r="44" spans="1:8" x14ac:dyDescent="0.25">
      <c r="A44" s="1" t="s">
        <v>97</v>
      </c>
      <c r="B44" s="29">
        <v>8000</v>
      </c>
    </row>
    <row r="45" spans="1:8" x14ac:dyDescent="0.25">
      <c r="A45" s="1" t="s">
        <v>98</v>
      </c>
      <c r="B45" s="29">
        <v>12000</v>
      </c>
    </row>
    <row r="46" spans="1:8" x14ac:dyDescent="0.25">
      <c r="A46" s="1" t="s">
        <v>99</v>
      </c>
      <c r="B46" s="29">
        <v>6000</v>
      </c>
    </row>
    <row r="47" spans="1:8" x14ac:dyDescent="0.25">
      <c r="A47" s="1" t="s">
        <v>100</v>
      </c>
      <c r="B47" s="31">
        <v>0.05</v>
      </c>
      <c r="H47" s="123" t="s">
        <v>519</v>
      </c>
    </row>
    <row r="48" spans="1:8" ht="15.75" customHeight="1" x14ac:dyDescent="0.25">
      <c r="A48" s="144" t="s">
        <v>101</v>
      </c>
      <c r="B48" s="144"/>
      <c r="C48" s="144"/>
      <c r="D48" s="144"/>
      <c r="E48" s="144"/>
      <c r="F48" s="144"/>
      <c r="G48" s="144"/>
      <c r="H48" s="144"/>
    </row>
    <row r="49" spans="1:10" x14ac:dyDescent="0.25">
      <c r="A49" s="1" t="s">
        <v>102</v>
      </c>
      <c r="B49" s="29">
        <v>50</v>
      </c>
    </row>
    <row r="50" spans="1:10" x14ac:dyDescent="0.25">
      <c r="A50" s="1" t="s">
        <v>103</v>
      </c>
      <c r="B50" s="29">
        <v>40000</v>
      </c>
    </row>
    <row r="51" spans="1:10" x14ac:dyDescent="0.25">
      <c r="A51" s="1" t="s">
        <v>104</v>
      </c>
      <c r="B51" s="29">
        <v>60000</v>
      </c>
    </row>
    <row r="52" spans="1:10" x14ac:dyDescent="0.25">
      <c r="A52" s="1" t="s">
        <v>105</v>
      </c>
      <c r="B52" s="29">
        <v>20000</v>
      </c>
    </row>
    <row r="53" spans="1:10" x14ac:dyDescent="0.25">
      <c r="A53" s="1" t="s">
        <v>106</v>
      </c>
      <c r="B53" s="29">
        <v>15000</v>
      </c>
    </row>
    <row r="54" spans="1:10" x14ac:dyDescent="0.25">
      <c r="A54" s="1" t="s">
        <v>107</v>
      </c>
      <c r="B54" s="29">
        <v>30000</v>
      </c>
    </row>
    <row r="55" spans="1:10" x14ac:dyDescent="0.25">
      <c r="A55" s="1" t="s">
        <v>108</v>
      </c>
      <c r="B55" s="29">
        <v>10000</v>
      </c>
    </row>
    <row r="56" spans="1:10" x14ac:dyDescent="0.25">
      <c r="A56" s="14" t="s">
        <v>109</v>
      </c>
      <c r="B56" s="32">
        <f>SUM(Assumptions!$B$50:$B$55)</f>
        <v>175000</v>
      </c>
      <c r="H56" s="16" t="s">
        <v>110</v>
      </c>
    </row>
    <row r="57" spans="1:10" ht="15.75" customHeight="1" x14ac:dyDescent="0.25">
      <c r="A57" s="144" t="s">
        <v>111</v>
      </c>
      <c r="B57" s="144"/>
      <c r="C57" s="144"/>
      <c r="D57" s="144"/>
      <c r="E57" s="144"/>
      <c r="F57" s="144"/>
      <c r="G57" s="144"/>
      <c r="H57" s="144"/>
    </row>
    <row r="58" spans="1:10" x14ac:dyDescent="0.25">
      <c r="A58" s="1" t="s">
        <v>112</v>
      </c>
      <c r="B58" s="31">
        <v>0.7</v>
      </c>
    </row>
    <row r="59" spans="1:10" x14ac:dyDescent="0.25">
      <c r="A59" s="1" t="s">
        <v>113</v>
      </c>
      <c r="B59" s="26">
        <v>360</v>
      </c>
    </row>
    <row r="60" spans="1:10" x14ac:dyDescent="0.25">
      <c r="A60" s="1" t="s">
        <v>114</v>
      </c>
      <c r="B60" s="26">
        <v>120</v>
      </c>
    </row>
    <row r="61" spans="1:10" x14ac:dyDescent="0.25">
      <c r="A61" s="1" t="s">
        <v>115</v>
      </c>
      <c r="B61" s="26">
        <v>24</v>
      </c>
    </row>
    <row r="62" spans="1:10" x14ac:dyDescent="0.25">
      <c r="A62" s="1" t="s">
        <v>116</v>
      </c>
      <c r="B62" s="30">
        <v>0.01</v>
      </c>
    </row>
    <row r="63" spans="1:10" x14ac:dyDescent="0.25">
      <c r="A63" s="1" t="s">
        <v>117</v>
      </c>
      <c r="B63" s="33">
        <v>1.25</v>
      </c>
      <c r="H63" s="123" t="s">
        <v>520</v>
      </c>
      <c r="I63" s="123" t="s">
        <v>522</v>
      </c>
      <c r="J63" s="124"/>
    </row>
    <row r="64" spans="1:10" x14ac:dyDescent="0.25">
      <c r="A64" s="1" t="s">
        <v>118</v>
      </c>
      <c r="B64" s="30">
        <v>0.08</v>
      </c>
      <c r="H64" s="123" t="s">
        <v>521</v>
      </c>
      <c r="I64" s="125" t="s">
        <v>524</v>
      </c>
    </row>
    <row r="65" spans="1:9" x14ac:dyDescent="0.25">
      <c r="A65" s="1" t="s">
        <v>119</v>
      </c>
      <c r="B65" s="30">
        <v>0.02</v>
      </c>
      <c r="H65" s="16" t="s">
        <v>120</v>
      </c>
      <c r="I65" s="123" t="s">
        <v>523</v>
      </c>
    </row>
    <row r="66" spans="1:9" ht="15.75" customHeight="1" x14ac:dyDescent="0.25">
      <c r="A66" s="144" t="s">
        <v>121</v>
      </c>
      <c r="B66" s="144"/>
      <c r="C66" s="144"/>
      <c r="D66" s="144"/>
      <c r="E66" s="144"/>
      <c r="F66" s="144"/>
      <c r="G66" s="144"/>
      <c r="H66" s="144"/>
    </row>
    <row r="67" spans="1:9" x14ac:dyDescent="0.25">
      <c r="A67" s="1" t="s">
        <v>122</v>
      </c>
      <c r="B67" s="34">
        <v>1</v>
      </c>
      <c r="H67" s="16" t="s">
        <v>123</v>
      </c>
    </row>
    <row r="68" spans="1:9" x14ac:dyDescent="0.25">
      <c r="A68" s="1" t="s">
        <v>124</v>
      </c>
      <c r="B68" s="25">
        <v>36</v>
      </c>
    </row>
    <row r="69" spans="1:9" x14ac:dyDescent="0.25">
      <c r="A69" s="1" t="s">
        <v>125</v>
      </c>
      <c r="B69" s="30">
        <v>0.7</v>
      </c>
    </row>
    <row r="70" spans="1:9" x14ac:dyDescent="0.25">
      <c r="A70" s="1" t="s">
        <v>126</v>
      </c>
      <c r="B70" s="134">
        <v>0.06</v>
      </c>
    </row>
    <row r="71" spans="1:9" x14ac:dyDescent="0.25">
      <c r="A71" s="1" t="s">
        <v>127</v>
      </c>
      <c r="B71" s="26">
        <v>360</v>
      </c>
    </row>
    <row r="72" spans="1:9" x14ac:dyDescent="0.25">
      <c r="A72" s="1" t="s">
        <v>128</v>
      </c>
      <c r="B72" s="26">
        <v>0</v>
      </c>
    </row>
    <row r="73" spans="1:9" x14ac:dyDescent="0.25">
      <c r="A73" s="1" t="s">
        <v>129</v>
      </c>
      <c r="B73" s="30">
        <v>0.01</v>
      </c>
    </row>
    <row r="74" spans="1:9" x14ac:dyDescent="0.25">
      <c r="A74" s="1" t="s">
        <v>130</v>
      </c>
      <c r="B74" s="30">
        <v>6.2E-2</v>
      </c>
    </row>
    <row r="75" spans="1:9" ht="15.75" customHeight="1" x14ac:dyDescent="0.25">
      <c r="A75" s="144" t="s">
        <v>131</v>
      </c>
      <c r="B75" s="144"/>
      <c r="C75" s="144"/>
      <c r="D75" s="144"/>
      <c r="E75" s="144"/>
      <c r="F75" s="144"/>
      <c r="G75" s="144"/>
      <c r="H75" s="144"/>
    </row>
    <row r="76" spans="1:9" x14ac:dyDescent="0.25">
      <c r="A76" s="1" t="s">
        <v>132</v>
      </c>
      <c r="B76" s="25">
        <v>60</v>
      </c>
      <c r="H76" s="16" t="s">
        <v>133</v>
      </c>
    </row>
    <row r="77" spans="1:9" x14ac:dyDescent="0.25">
      <c r="A77" s="1" t="s">
        <v>134</v>
      </c>
      <c r="B77" s="30">
        <v>0.03</v>
      </c>
    </row>
    <row r="78" spans="1:9" x14ac:dyDescent="0.25">
      <c r="A78" s="1" t="s">
        <v>135</v>
      </c>
      <c r="B78" s="30">
        <v>0.01</v>
      </c>
    </row>
    <row r="79" spans="1:9" ht="15.75" customHeight="1" x14ac:dyDescent="0.25">
      <c r="A79" s="144" t="s">
        <v>136</v>
      </c>
      <c r="B79" s="144"/>
      <c r="C79" s="144"/>
      <c r="D79" s="144"/>
      <c r="E79" s="144"/>
      <c r="F79" s="144"/>
      <c r="G79" s="144"/>
      <c r="H79" s="144"/>
    </row>
    <row r="80" spans="1:9" x14ac:dyDescent="0.25">
      <c r="A80" s="1" t="s">
        <v>137</v>
      </c>
      <c r="B80" s="30">
        <v>0.9</v>
      </c>
      <c r="H80" s="16" t="s">
        <v>526</v>
      </c>
      <c r="I80" s="16" t="s">
        <v>527</v>
      </c>
    </row>
    <row r="81" spans="1:9" x14ac:dyDescent="0.25">
      <c r="A81" s="1" t="s">
        <v>138</v>
      </c>
      <c r="B81" s="30">
        <v>0.1</v>
      </c>
      <c r="H81" s="16" t="s">
        <v>525</v>
      </c>
      <c r="I81" s="16" t="s">
        <v>528</v>
      </c>
    </row>
    <row r="82" spans="1:9" x14ac:dyDescent="0.25">
      <c r="A82" s="1" t="s">
        <v>139</v>
      </c>
      <c r="B82" s="30">
        <v>0.08</v>
      </c>
    </row>
    <row r="83" spans="1:9" x14ac:dyDescent="0.25">
      <c r="A83" s="1" t="s">
        <v>140</v>
      </c>
      <c r="B83" s="30">
        <v>1</v>
      </c>
    </row>
    <row r="84" spans="1:9" x14ac:dyDescent="0.25">
      <c r="A84" s="1" t="s">
        <v>141</v>
      </c>
      <c r="B84" s="30">
        <v>0.2</v>
      </c>
    </row>
    <row r="85" spans="1:9" ht="15.75" customHeight="1" x14ac:dyDescent="0.25">
      <c r="A85" s="144" t="s">
        <v>142</v>
      </c>
      <c r="B85" s="144"/>
      <c r="C85" s="144"/>
      <c r="D85" s="144"/>
      <c r="E85" s="144"/>
      <c r="F85" s="144"/>
      <c r="G85" s="144"/>
      <c r="H85" s="144"/>
    </row>
    <row r="86" spans="1:9" x14ac:dyDescent="0.25">
      <c r="A86" s="1" t="s">
        <v>143</v>
      </c>
      <c r="B86" s="35">
        <f>Assumptions!$B$58*Assumptions!$B$8</f>
        <v>910000</v>
      </c>
    </row>
    <row r="87" spans="1:9" x14ac:dyDescent="0.25">
      <c r="A87" s="1" t="s">
        <v>144</v>
      </c>
      <c r="B87" s="35">
        <f>Assumptions!$B$65*Assumptions!$B$8</f>
        <v>26000</v>
      </c>
    </row>
    <row r="88" spans="1:9" x14ac:dyDescent="0.25">
      <c r="A88" s="1" t="s">
        <v>145</v>
      </c>
      <c r="B88" s="36">
        <f>Assumptions!$B$13/12</f>
        <v>5.4166666666666669E-3</v>
      </c>
    </row>
    <row r="89" spans="1:9" x14ac:dyDescent="0.25">
      <c r="A89" s="1" t="s">
        <v>146</v>
      </c>
      <c r="B89" s="36">
        <f>Assumptions!$B$70/12</f>
        <v>5.0000000000000001E-3</v>
      </c>
    </row>
  </sheetData>
  <mergeCells count="12">
    <mergeCell ref="A79:H79"/>
    <mergeCell ref="A85:H85"/>
    <mergeCell ref="A31:H31"/>
    <mergeCell ref="A48:H48"/>
    <mergeCell ref="A57:H57"/>
    <mergeCell ref="A66:H66"/>
    <mergeCell ref="A75:H75"/>
    <mergeCell ref="A1:H1"/>
    <mergeCell ref="A2:H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topLeftCell="A3" zoomScaleNormal="100" workbookViewId="0">
      <selection activeCell="E11" sqref="E11"/>
    </sheetView>
  </sheetViews>
  <sheetFormatPr defaultColWidth="8.7109375" defaultRowHeight="15" x14ac:dyDescent="0.25"/>
  <cols>
    <col min="1" max="1" width="34" customWidth="1"/>
    <col min="2" max="12" width="12" customWidth="1"/>
  </cols>
  <sheetData>
    <row r="1" spans="1:12" ht="24" customHeight="1" x14ac:dyDescent="0.25">
      <c r="A1" s="141" t="s">
        <v>387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3.5" customHeight="1" x14ac:dyDescent="0.25">
      <c r="A2" s="142" t="s">
        <v>388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x14ac:dyDescent="0.25">
      <c r="A4" s="86" t="s">
        <v>389</v>
      </c>
      <c r="B4" s="49" t="s">
        <v>390</v>
      </c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" t="s">
        <v>363</v>
      </c>
      <c r="B5" s="87" t="s">
        <v>391</v>
      </c>
      <c r="C5" s="88">
        <f>SUM('Monthly Operations'!D42:O42)</f>
        <v>81224.913333333316</v>
      </c>
      <c r="D5" s="88">
        <f>SUM('Monthly Operations'!P42:AA42)</f>
        <v>119435.63763333339</v>
      </c>
      <c r="E5" s="88">
        <f>SUM('Monthly Operations'!AB42:AM42)</f>
        <v>128483.35026400005</v>
      </c>
      <c r="F5" s="88">
        <f>SUM('Monthly Operations'!AN42:AY42)</f>
        <v>133473.67725692005</v>
      </c>
      <c r="G5" s="88">
        <f>SUM('Monthly Operations'!AZ42:BK42)</f>
        <v>138642.10972175264</v>
      </c>
      <c r="H5" s="88">
        <f>SUM('Monthly Operations'!BL42:BW42)</f>
        <v>143994.70071420848</v>
      </c>
      <c r="I5" s="88">
        <f>SUM('Monthly Operations'!BX42:CI42)</f>
        <v>149537.70262895801</v>
      </c>
      <c r="J5" s="88">
        <f>SUM('Monthly Operations'!CJ42:CU42)</f>
        <v>155277.57362348298</v>
      </c>
      <c r="K5" s="88">
        <f>SUM('Monthly Operations'!CV42:DG42)</f>
        <v>161220.98424573502</v>
      </c>
      <c r="L5" s="88">
        <f>SUM('Monthly Operations'!DH42:DS42)</f>
        <v>167374.82427199345</v>
      </c>
    </row>
    <row r="6" spans="1:12" x14ac:dyDescent="0.25">
      <c r="A6" s="1" t="s">
        <v>334</v>
      </c>
      <c r="B6" s="87" t="s">
        <v>391</v>
      </c>
      <c r="C6" s="88">
        <f>-SUM('Debt Schedule'!D18:O18)</f>
        <v>-59149.999999999993</v>
      </c>
      <c r="D6" s="88">
        <f>-SUM('Debt Schedule'!P18:AA18)</f>
        <v>-59149.999999999993</v>
      </c>
      <c r="E6" s="88">
        <f>-SUM('Debt Schedule'!AB18:AM18)</f>
        <v>-72455.425135440339</v>
      </c>
      <c r="F6" s="88">
        <f>-SUM('Debt Schedule'!AN18:AY18)</f>
        <v>-110224.99180553602</v>
      </c>
      <c r="G6" s="88">
        <f>-SUM('Debt Schedule'!AZ18:BK18)</f>
        <v>-110224.99180553602</v>
      </c>
      <c r="H6" s="88">
        <f>-SUM('Debt Schedule'!BL18:BW18)</f>
        <v>-110224.99180553602</v>
      </c>
      <c r="I6" s="88">
        <f>-SUM('Debt Schedule'!BX18:CI18)</f>
        <v>-110224.99180553602</v>
      </c>
      <c r="J6" s="88">
        <f>-SUM('Debt Schedule'!CJ18:CU18)</f>
        <v>-110224.99180553602</v>
      </c>
      <c r="K6" s="88">
        <f>-SUM('Debt Schedule'!CV18:DG18)</f>
        <v>-110224.99180553602</v>
      </c>
      <c r="L6" s="88">
        <f>-SUM('Debt Schedule'!DH18:DS18)</f>
        <v>-110224.99180553602</v>
      </c>
    </row>
    <row r="7" spans="1:12" x14ac:dyDescent="0.25">
      <c r="A7" s="14" t="s">
        <v>392</v>
      </c>
      <c r="B7" s="87" t="s">
        <v>391</v>
      </c>
      <c r="C7" s="67">
        <f t="shared" ref="C7:L7" si="0">C5+C6</f>
        <v>22074.913333333323</v>
      </c>
      <c r="D7" s="67">
        <f t="shared" si="0"/>
        <v>60285.637633333397</v>
      </c>
      <c r="E7" s="67">
        <f t="shared" si="0"/>
        <v>56027.925128559713</v>
      </c>
      <c r="F7" s="67">
        <f t="shared" si="0"/>
        <v>23248.685451384037</v>
      </c>
      <c r="G7" s="67">
        <f t="shared" si="0"/>
        <v>28417.117916216623</v>
      </c>
      <c r="H7" s="67">
        <f t="shared" si="0"/>
        <v>33769.708908672459</v>
      </c>
      <c r="I7" s="67">
        <f t="shared" si="0"/>
        <v>39312.710823421992</v>
      </c>
      <c r="J7" s="67">
        <f t="shared" si="0"/>
        <v>45052.581817946964</v>
      </c>
      <c r="K7" s="67">
        <f t="shared" si="0"/>
        <v>50995.992440198999</v>
      </c>
      <c r="L7" s="67">
        <f t="shared" si="0"/>
        <v>57149.832466457432</v>
      </c>
    </row>
    <row r="8" spans="1:12" x14ac:dyDescent="0.25">
      <c r="A8" s="1" t="s">
        <v>393</v>
      </c>
      <c r="B8" s="87" t="s">
        <v>391</v>
      </c>
      <c r="C8" s="88">
        <f>IF(AND(Assumptions!$B$67=1,(INT((Assumptions!$B$68-1)/12)+1)=COLUMN(A1),(INT((Assumptions!$B$68-1)/12)+1)&lt;=Exit!$B$6),Refinance!$B$14,0)</f>
        <v>0</v>
      </c>
      <c r="D8" s="88">
        <f>IF(AND(Assumptions!$B$67=1,(INT((Assumptions!$B$68-1)/12)+1)=COLUMN(B1),(INT((Assumptions!$B$68-1)/12)+1)&lt;=Exit!$B$6),Refinance!$B$14,0)</f>
        <v>0</v>
      </c>
      <c r="E8" s="88">
        <f>IF(AND(Assumptions!$B$67=1,(INT((Assumptions!$B$68-1)/12)+1)=COLUMN(C1),(INT((Assumptions!$B$68-1)/12)+1)&lt;=Exit!$B$6),Refinance!$B$14,0)</f>
        <v>616028.1409112009</v>
      </c>
      <c r="F8" s="88">
        <f>IF(AND(Assumptions!$B$67=1,(INT((Assumptions!$B$68-1)/12)+1)=COLUMN(D1),(INT((Assumptions!$B$68-1)/12)+1)&lt;=Exit!$B$6),Refinance!$B$14,0)</f>
        <v>0</v>
      </c>
      <c r="G8" s="88">
        <f>IF(AND(Assumptions!$B$67=1,(INT((Assumptions!$B$68-1)/12)+1)=COLUMN(E1),(INT((Assumptions!$B$68-1)/12)+1)&lt;=Exit!$B$6),Refinance!$B$14,0)</f>
        <v>0</v>
      </c>
      <c r="H8" s="88">
        <f>IF(AND(Assumptions!$B$67=1,(INT((Assumptions!$B$68-1)/12)+1)=COLUMN(F1),(INT((Assumptions!$B$68-1)/12)+1)&lt;=Exit!$B$6),Refinance!$B$14,0)</f>
        <v>0</v>
      </c>
      <c r="I8" s="88">
        <f>IF(AND(Assumptions!$B$67=1,(INT((Assumptions!$B$68-1)/12)+1)=COLUMN(G1),(INT((Assumptions!$B$68-1)/12)+1)&lt;=Exit!$B$6),Refinance!$B$14,0)</f>
        <v>0</v>
      </c>
      <c r="J8" s="88">
        <f>IF(AND(Assumptions!$B$67=1,(INT((Assumptions!$B$68-1)/12)+1)=COLUMN(H1),(INT((Assumptions!$B$68-1)/12)+1)&lt;=Exit!$B$6),Refinance!$B$14,0)</f>
        <v>0</v>
      </c>
      <c r="K8" s="88">
        <f>IF(AND(Assumptions!$B$67=1,(INT((Assumptions!$B$68-1)/12)+1)=COLUMN(I1),(INT((Assumptions!$B$68-1)/12)+1)&lt;=Exit!$B$6),Refinance!$B$14,0)</f>
        <v>0</v>
      </c>
      <c r="L8" s="88">
        <f>IF(AND(Assumptions!$B$67=1,(INT((Assumptions!$B$68-1)/12)+1)=COLUMN(J1),(INT((Assumptions!$B$68-1)/12)+1)&lt;=Exit!$B$6),Refinance!$B$14,0)</f>
        <v>0</v>
      </c>
    </row>
    <row r="9" spans="1:12" x14ac:dyDescent="0.25">
      <c r="A9" s="1" t="s">
        <v>16</v>
      </c>
      <c r="B9" s="87" t="s">
        <v>391</v>
      </c>
      <c r="C9" s="88">
        <f>IF(1=Exit!$B$6,Exit!$B$13,0)</f>
        <v>0</v>
      </c>
      <c r="D9" s="88">
        <f>IF(2=Exit!$B$6,Exit!$B$13,0)</f>
        <v>0</v>
      </c>
      <c r="E9" s="88">
        <f>IF(3=Exit!$B$6,Exit!$B$13,0)</f>
        <v>0</v>
      </c>
      <c r="F9" s="88">
        <f>IF(4=Exit!$B$6,Exit!$B$13,0)</f>
        <v>0</v>
      </c>
      <c r="G9" s="88">
        <f>IF(5=Exit!$B$6,Exit!$B$13,0)</f>
        <v>701987.73042483395</v>
      </c>
      <c r="H9" s="88">
        <f>IF(6=Exit!$B$6,Exit!$B$13,0)</f>
        <v>0</v>
      </c>
      <c r="I9" s="88">
        <f>IF(7=Exit!$B$6,Exit!$B$13,0)</f>
        <v>0</v>
      </c>
      <c r="J9" s="88">
        <f>IF(8=Exit!$B$6,Exit!$B$13,0)</f>
        <v>0</v>
      </c>
      <c r="K9" s="88">
        <f>IF(9=Exit!$B$6,Exit!$B$13,0)</f>
        <v>0</v>
      </c>
      <c r="L9" s="88">
        <f>IF(10=Exit!$B$6,Exit!$B$13,0)</f>
        <v>0</v>
      </c>
    </row>
    <row r="10" spans="1:12" x14ac:dyDescent="0.25">
      <c r="A10" s="1" t="s">
        <v>394</v>
      </c>
      <c r="B10" s="88">
        <f>-Acquisition!$B$23</f>
        <v>-600100</v>
      </c>
      <c r="C10" s="88" t="s">
        <v>391</v>
      </c>
      <c r="D10" s="87" t="s">
        <v>391</v>
      </c>
      <c r="E10" s="87" t="s">
        <v>391</v>
      </c>
      <c r="F10" s="87" t="s">
        <v>391</v>
      </c>
      <c r="G10" s="87" t="s">
        <v>391</v>
      </c>
      <c r="H10" s="87" t="s">
        <v>391</v>
      </c>
      <c r="I10" s="87" t="s">
        <v>391</v>
      </c>
      <c r="J10" s="87" t="s">
        <v>391</v>
      </c>
      <c r="K10" s="87" t="s">
        <v>391</v>
      </c>
      <c r="L10" s="87" t="s">
        <v>391</v>
      </c>
    </row>
    <row r="11" spans="1:12" x14ac:dyDescent="0.25">
      <c r="A11" s="54" t="s">
        <v>395</v>
      </c>
      <c r="B11" s="65">
        <f>B10</f>
        <v>-600100</v>
      </c>
      <c r="C11" s="65">
        <f>IF(1&gt;Exit!$B$6,0,C7+C8)+C9</f>
        <v>22074.913333333323</v>
      </c>
      <c r="D11" s="65">
        <f>IF(2&gt;Exit!$B$6,0,D7+D8)+D9</f>
        <v>60285.637633333397</v>
      </c>
      <c r="E11" s="65">
        <f>IF(3&gt;Exit!$B$6,0,E7+E8)+E9</f>
        <v>672056.0660397606</v>
      </c>
      <c r="F11" s="65">
        <f>IF(4&gt;Exit!$B$6,0,F7+F8)+F9</f>
        <v>23248.685451384037</v>
      </c>
      <c r="G11" s="65">
        <f>IF(5&gt;Exit!$B$6,0,G7+G8)+G9</f>
        <v>730404.84834105056</v>
      </c>
      <c r="H11" s="65">
        <f>IF(6&gt;Exit!$B$6,0,H7+H8)+H9</f>
        <v>0</v>
      </c>
      <c r="I11" s="65">
        <f>IF(7&gt;Exit!$B$6,0,I7+I8)+I9</f>
        <v>0</v>
      </c>
      <c r="J11" s="65">
        <f>IF(8&gt;Exit!$B$6,0,J7+J8)+J9</f>
        <v>0</v>
      </c>
      <c r="K11" s="65">
        <f>IF(9&gt;Exit!$B$6,0,K7+K8)+K9</f>
        <v>0</v>
      </c>
      <c r="L11" s="65">
        <f>IF(10&gt;Exit!$B$6,0,L7+L8)+L9</f>
        <v>0</v>
      </c>
    </row>
    <row r="12" spans="1:12" x14ac:dyDescent="0.25">
      <c r="A12" s="17" t="s">
        <v>396</v>
      </c>
      <c r="B12" s="89">
        <f>B11</f>
        <v>-600100</v>
      </c>
      <c r="C12" s="89">
        <f t="shared" ref="C12:L12" si="1">B12+C11</f>
        <v>-578025.08666666667</v>
      </c>
      <c r="D12" s="89">
        <f t="shared" si="1"/>
        <v>-517739.44903333328</v>
      </c>
      <c r="E12" s="89">
        <f t="shared" si="1"/>
        <v>154316.61700642732</v>
      </c>
      <c r="F12" s="89">
        <f t="shared" si="1"/>
        <v>177565.30245781137</v>
      </c>
      <c r="G12" s="89">
        <f t="shared" si="1"/>
        <v>907970.15079886187</v>
      </c>
      <c r="H12" s="89">
        <f t="shared" si="1"/>
        <v>907970.15079886187</v>
      </c>
      <c r="I12" s="89">
        <f t="shared" si="1"/>
        <v>907970.15079886187</v>
      </c>
      <c r="J12" s="89">
        <f t="shared" si="1"/>
        <v>907970.15079886187</v>
      </c>
      <c r="K12" s="89">
        <f t="shared" si="1"/>
        <v>907970.15079886187</v>
      </c>
      <c r="L12" s="89">
        <f t="shared" si="1"/>
        <v>907970.15079886187</v>
      </c>
    </row>
    <row r="14" spans="1:12" hidden="1" x14ac:dyDescent="0.25">
      <c r="A14" s="143" t="s">
        <v>397</v>
      </c>
      <c r="B14" s="143"/>
      <c r="C14" s="88"/>
      <c r="D14" s="88"/>
      <c r="E14" s="88"/>
      <c r="F14" s="88"/>
      <c r="G14" s="88"/>
      <c r="H14" s="88"/>
      <c r="I14" s="88"/>
    </row>
    <row r="15" spans="1:12" hidden="1" x14ac:dyDescent="0.25">
      <c r="A15" s="14" t="s">
        <v>398</v>
      </c>
      <c r="B15" s="90">
        <f>Acquisition!$B$23</f>
        <v>600100</v>
      </c>
    </row>
    <row r="16" spans="1:12" hidden="1" x14ac:dyDescent="0.25">
      <c r="A16" s="14" t="s">
        <v>18</v>
      </c>
      <c r="B16" s="81">
        <f>IFERROR(IRR(B11:L11),0)</f>
        <v>0.27741656061743103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spans="1:16" hidden="1" x14ac:dyDescent="0.25">
      <c r="A17" s="14" t="s">
        <v>399</v>
      </c>
      <c r="B17" s="91">
        <f>IFERROR(SUMIF(C11:L11,"&gt;0")/Acquisition!$B$23,0)</f>
        <v>2.5130314127626425</v>
      </c>
      <c r="E17" t="s">
        <v>533</v>
      </c>
    </row>
    <row r="18" spans="1:16" hidden="1" x14ac:dyDescent="0.25">
      <c r="A18" s="14" t="s">
        <v>21</v>
      </c>
      <c r="B18" s="90">
        <f>SUM(C11:L11)-Acquisition!$B$23</f>
        <v>907970.15079886187</v>
      </c>
      <c r="C18" s="88">
        <f>IF(AND(Assumptions!$B$67=1,(INT((Assumptions!$B$68-1)/12)+1)=COLUMN(A11),(INT((Assumptions!$B$68-1)/12)+1)&lt;=Exit!$B$6),Refinance!$B$14,0)</f>
        <v>0</v>
      </c>
      <c r="E18" t="s">
        <v>534</v>
      </c>
    </row>
    <row r="19" spans="1:16" hidden="1" x14ac:dyDescent="0.25">
      <c r="A19" s="14" t="s">
        <v>400</v>
      </c>
      <c r="B19" s="92">
        <f>IFERROR(AVERAGE(C7:L7)/Acquisition!$B$23,0)</f>
        <v>6.9377621383023655E-2</v>
      </c>
    </row>
    <row r="20" spans="1:16" hidden="1" x14ac:dyDescent="0.25">
      <c r="A20" s="14" t="s">
        <v>401</v>
      </c>
      <c r="B20" s="93">
        <f>Exit!$B$6</f>
        <v>5</v>
      </c>
    </row>
    <row r="22" spans="1:16" x14ac:dyDescent="0.25">
      <c r="A22" s="143" t="s">
        <v>402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</row>
    <row r="23" spans="1:16" x14ac:dyDescent="0.25">
      <c r="A23" s="9" t="s">
        <v>403</v>
      </c>
      <c r="B23" s="94" t="s">
        <v>404</v>
      </c>
      <c r="C23" s="94">
        <v>1</v>
      </c>
      <c r="D23" s="94">
        <v>2</v>
      </c>
      <c r="E23" s="94">
        <v>3</v>
      </c>
      <c r="F23" s="94">
        <v>4</v>
      </c>
      <c r="G23" s="94">
        <v>5</v>
      </c>
      <c r="H23" s="94">
        <v>6</v>
      </c>
      <c r="I23" s="94">
        <v>7</v>
      </c>
      <c r="J23" s="94">
        <v>8</v>
      </c>
      <c r="K23" s="94">
        <v>9</v>
      </c>
      <c r="L23" s="94">
        <v>10</v>
      </c>
      <c r="N23" s="94" t="s">
        <v>384</v>
      </c>
      <c r="O23" s="94" t="s">
        <v>405</v>
      </c>
      <c r="P23" s="94" t="s">
        <v>386</v>
      </c>
    </row>
    <row r="24" spans="1:16" x14ac:dyDescent="0.25">
      <c r="A24" s="139">
        <v>1</v>
      </c>
      <c r="B24" s="95">
        <f>-Acquisition!$B$23</f>
        <v>-600100</v>
      </c>
      <c r="C24" s="95">
        <f>IF(C$23&lt;=$A24,C7+IF(AND(Assumptions!$B$67=1,1=(INT((Assumptions!$B$68-1)/12)+1),(INT((Assumptions!$B$68-1)/12)+1)&lt;=1),Refinance!$B$14,0)+IF(1=1,Exit!G18,0),0)</f>
        <v>936601.25376410293</v>
      </c>
      <c r="D24" s="95">
        <f>IF(2&lt;=1,D7+IF(AND(Assumptions!$B$67=1,2=(INT((Assumptions!$B$68-1)/12)+1),(INT((Assumptions!$B$68-1)/12)+1)&lt;=1),Refinance!$B$14,0)+IF(2=1,Exit!G18,0),0)</f>
        <v>0</v>
      </c>
      <c r="E24" s="95">
        <f>IF(3&lt;=1,E7+IF(AND(Assumptions!$B$67=1,3=(INT((Assumptions!$B$68-1)/12)+1),(INT((Assumptions!$B$68-1)/12)+1)&lt;=1),Refinance!$B$14,0)+IF(3=1,Exit!G18,0),0)</f>
        <v>0</v>
      </c>
      <c r="F24" s="95">
        <f>IF(4&lt;=1,F7+IF(AND(Assumptions!$B$67=1,4=(INT((Assumptions!$B$68-1)/12)+1),(INT((Assumptions!$B$68-1)/12)+1)&lt;=1),Refinance!$B$14,0)+IF(4=1,Exit!G18,0),0)</f>
        <v>0</v>
      </c>
      <c r="G24" s="95">
        <f>IF(5&lt;=1,G7+IF(AND(Assumptions!$B$67=1,5=(INT((Assumptions!$B$68-1)/12)+1),(INT((Assumptions!$B$68-1)/12)+1)&lt;=1),Refinance!$B$14,0)+IF(5=1,Exit!G18,0),0)</f>
        <v>0</v>
      </c>
      <c r="H24" s="95">
        <f>IF(6&lt;=1,H7+IF(AND(Assumptions!$B$67=1,6=(INT((Assumptions!$B$68-1)/12)+1),(INT((Assumptions!$B$68-1)/12)+1)&lt;=1),Refinance!$B$14,0)+IF(6=1,Exit!G18,0),0)</f>
        <v>0</v>
      </c>
      <c r="I24" s="95">
        <f>IF(7&lt;=1,I7+IF(AND(Assumptions!$B$67=1,7=(INT((Assumptions!$B$68-1)/12)+1),(INT((Assumptions!$B$68-1)/12)+1)&lt;=1),Refinance!$B$14,0)+IF(7=1,Exit!G18,0),0)</f>
        <v>0</v>
      </c>
      <c r="J24" s="95">
        <f>IF(8&lt;=1,J7+IF(AND(Assumptions!$B$67=1,8=(INT((Assumptions!$B$68-1)/12)+1),(INT((Assumptions!$B$68-1)/12)+1)&lt;=1),Refinance!$B$14,0)+IF(8=1,Exit!G18,0),0)</f>
        <v>0</v>
      </c>
      <c r="K24" s="95">
        <f>IF(9&lt;=1,K7+IF(AND(Assumptions!$B$67=1,9=(INT((Assumptions!$B$68-1)/12)+1),(INT((Assumptions!$B$68-1)/12)+1)&lt;=1),Refinance!$B$14,0)+IF(9=1,Exit!G18,0),0)</f>
        <v>0</v>
      </c>
      <c r="L24" s="96">
        <f>IF(10&lt;=1,L7+IF(AND(Assumptions!$B$67=1,10=(INT((Assumptions!$B$68-1)/12)+1),(INT((Assumptions!$B$68-1)/12)+1)&lt;=1),Refinance!$B$14,0)+IF(10=1,Exit!G18,0),0)</f>
        <v>0</v>
      </c>
      <c r="N24" s="97">
        <f t="shared" ref="N24:N33" si="2">IFERROR(IRR(B24:L24),0)</f>
        <v>0.56074196594584702</v>
      </c>
      <c r="O24" s="98">
        <f>IFERROR(SUMIF(C24:L24,"&gt;0")/Acquisition!$B$23,0)</f>
        <v>1.5607419659458472</v>
      </c>
      <c r="P24" s="95">
        <f>SUM(C24:L24)-Acquisition!$B$23</f>
        <v>336501.25376410293</v>
      </c>
    </row>
    <row r="25" spans="1:16" x14ac:dyDescent="0.25">
      <c r="A25" s="139">
        <v>2</v>
      </c>
      <c r="B25" s="95">
        <f>-Acquisition!$B$23</f>
        <v>-600100</v>
      </c>
      <c r="C25" s="95">
        <f>IF(1&lt;=2,C7+IF(AND(Assumptions!$B$67=1,1=(INT((Assumptions!$B$68-1)/12)+1),(INT((Assumptions!$B$68-1)/12)+1)&lt;=2),Refinance!$B$14,0)+IF(1=2,Exit!G19,0),0)</f>
        <v>22074.913333333323</v>
      </c>
      <c r="D25" s="95">
        <f>IF(2&lt;=2,D7+IF(AND(Assumptions!$B$67=1,2=(INT((Assumptions!$B$68-1)/12)+1),(INT((Assumptions!$B$68-1)/12)+1)&lt;=2),Refinance!$B$14,0)+IF(2=2,Exit!G19,0),0)</f>
        <v>1109953.5799939493</v>
      </c>
      <c r="E25" s="95">
        <f>IF(3&lt;=2,E7+IF(AND(Assumptions!$B$67=1,3=(INT((Assumptions!$B$68-1)/12)+1),(INT((Assumptions!$B$68-1)/12)+1)&lt;=2),Refinance!$B$14,0)+IF(3=2,Exit!G19,0),0)</f>
        <v>0</v>
      </c>
      <c r="F25" s="95">
        <f>IF(4&lt;=2,F7+IF(AND(Assumptions!$B$67=1,4=(INT((Assumptions!$B$68-1)/12)+1),(INT((Assumptions!$B$68-1)/12)+1)&lt;=2),Refinance!$B$14,0)+IF(4=2,Exit!G19,0),0)</f>
        <v>0</v>
      </c>
      <c r="G25" s="95">
        <f>IF(5&lt;=2,G7+IF(AND(Assumptions!$B$67=1,5=(INT((Assumptions!$B$68-1)/12)+1),(INT((Assumptions!$B$68-1)/12)+1)&lt;=2),Refinance!$B$14,0)+IF(5=2,Exit!G19,0),0)</f>
        <v>0</v>
      </c>
      <c r="H25" s="95">
        <f>IF(6&lt;=2,H7+IF(AND(Assumptions!$B$67=1,6=(INT((Assumptions!$B$68-1)/12)+1),(INT((Assumptions!$B$68-1)/12)+1)&lt;=2),Refinance!$B$14,0)+IF(6=2,Exit!G19,0),0)</f>
        <v>0</v>
      </c>
      <c r="I25" s="95">
        <f>IF(7&lt;=2,I7+IF(AND(Assumptions!$B$67=1,7=(INT((Assumptions!$B$68-1)/12)+1),(INT((Assumptions!$B$68-1)/12)+1)&lt;=2),Refinance!$B$14,0)+IF(7=2,Exit!G19,0),0)</f>
        <v>0</v>
      </c>
      <c r="J25" s="95">
        <f>IF(8&lt;=2,J7+IF(AND(Assumptions!$B$67=1,8=(INT((Assumptions!$B$68-1)/12)+1),(INT((Assumptions!$B$68-1)/12)+1)&lt;=2),Refinance!$B$14,0)+IF(8=2,Exit!G19,0),0)</f>
        <v>0</v>
      </c>
      <c r="K25" s="95">
        <f>IF(9&lt;=2,K7+IF(AND(Assumptions!$B$67=1,9=(INT((Assumptions!$B$68-1)/12)+1),(INT((Assumptions!$B$68-1)/12)+1)&lt;=2),Refinance!$B$14,0)+IF(9=2,Exit!G19,0),0)</f>
        <v>0</v>
      </c>
      <c r="L25" s="96">
        <f>IF(10&lt;=2,L7+IF(AND(Assumptions!$B$67=1,10=(INT((Assumptions!$B$68-1)/12)+1),(INT((Assumptions!$B$68-1)/12)+1)&lt;=2),Refinance!$B$14,0)+IF(10=2,Exit!G19,0),0)</f>
        <v>0</v>
      </c>
      <c r="N25" s="97">
        <f t="shared" si="2"/>
        <v>0.37852234224566184</v>
      </c>
      <c r="O25" s="98">
        <f>IFERROR(SUMIF(C25:L25,"&gt;0")/Acquisition!$B$23,0)</f>
        <v>1.8863997555862067</v>
      </c>
      <c r="P25" s="95">
        <f>SUM(C25:L25)-Acquisition!$B$23</f>
        <v>531928.4933272826</v>
      </c>
    </row>
    <row r="26" spans="1:16" x14ac:dyDescent="0.25">
      <c r="A26" s="139">
        <v>3</v>
      </c>
      <c r="B26" s="95">
        <f>-Acquisition!$B$23</f>
        <v>-600100</v>
      </c>
      <c r="C26" s="95">
        <f>IF(1&lt;=3,C7+IF(AND(Assumptions!$B$67=1,1=(INT((Assumptions!$B$68-1)/12)+1),(INT((Assumptions!$B$68-1)/12)+1)&lt;=3),Refinance!$B$14,0)+IF(1=3,Exit!G20,0),0)</f>
        <v>22074.913333333323</v>
      </c>
      <c r="D26" s="95">
        <f>IF(2&lt;=3,D7+IF(AND(Assumptions!$B$67=1,2=(INT((Assumptions!$B$68-1)/12)+1),(INT((Assumptions!$B$68-1)/12)+1)&lt;=3),Refinance!$B$14,0)+IF(2=3,Exit!G20,0),0)</f>
        <v>60285.637633333397</v>
      </c>
      <c r="E26" s="95">
        <f>IF(3&lt;=3,E7+IF(AND(Assumptions!$B$67=1,3=(INT((Assumptions!$B$68-1)/12)+1),(INT((Assumptions!$B$68-1)/12)+1)&lt;=3),Refinance!$B$14,0)+IF(3=3,Exit!G20,0),0)</f>
        <v>1176453.7950579359</v>
      </c>
      <c r="F26" s="95">
        <f>IF(4&lt;=3,F7+IF(AND(Assumptions!$B$67=1,4=(INT((Assumptions!$B$68-1)/12)+1),(INT((Assumptions!$B$68-1)/12)+1)&lt;=3),Refinance!$B$14,0)+IF(4=3,Exit!G20,0),0)</f>
        <v>0</v>
      </c>
      <c r="G26" s="95">
        <f>IF(5&lt;=3,G7+IF(AND(Assumptions!$B$67=1,5=(INT((Assumptions!$B$68-1)/12)+1),(INT((Assumptions!$B$68-1)/12)+1)&lt;=3),Refinance!$B$14,0)+IF(5=3,Exit!G20,0),0)</f>
        <v>0</v>
      </c>
      <c r="H26" s="95">
        <f>IF(6&lt;=3,H7+IF(AND(Assumptions!$B$67=1,6=(INT((Assumptions!$B$68-1)/12)+1),(INT((Assumptions!$B$68-1)/12)+1)&lt;=3),Refinance!$B$14,0)+IF(6=3,Exit!G20,0),0)</f>
        <v>0</v>
      </c>
      <c r="I26" s="95">
        <f>IF(7&lt;=3,I7+IF(AND(Assumptions!$B$67=1,7=(INT((Assumptions!$B$68-1)/12)+1),(INT((Assumptions!$B$68-1)/12)+1)&lt;=3),Refinance!$B$14,0)+IF(7=3,Exit!G20,0),0)</f>
        <v>0</v>
      </c>
      <c r="J26" s="95">
        <f>IF(8&lt;=3,J7+IF(AND(Assumptions!$B$67=1,8=(INT((Assumptions!$B$68-1)/12)+1),(INT((Assumptions!$B$68-1)/12)+1)&lt;=3),Refinance!$B$14,0)+IF(8=3,Exit!G20,0),0)</f>
        <v>0</v>
      </c>
      <c r="K26" s="95">
        <f>IF(9&lt;=3,K7+IF(AND(Assumptions!$B$67=1,9=(INT((Assumptions!$B$68-1)/12)+1),(INT((Assumptions!$B$68-1)/12)+1)&lt;=3),Refinance!$B$14,0)+IF(9=3,Exit!G20,0),0)</f>
        <v>0</v>
      </c>
      <c r="L26" s="96">
        <f>IF(10&lt;=3,L7+IF(AND(Assumptions!$B$67=1,10=(INT((Assumptions!$B$68-1)/12)+1),(INT((Assumptions!$B$68-1)/12)+1)&lt;=3),Refinance!$B$14,0)+IF(10=3,Exit!G20,0),0)</f>
        <v>0</v>
      </c>
      <c r="N26" s="97">
        <f t="shared" si="2"/>
        <v>0.29094732124649836</v>
      </c>
      <c r="O26" s="98">
        <f>IFERROR(SUMIF(C26:L26,"&gt;0")/Acquisition!$B$23,0)</f>
        <v>2.0976742976580613</v>
      </c>
      <c r="P26" s="95">
        <f>SUM(C26:L26)-Acquisition!$B$23</f>
        <v>658714.34602460265</v>
      </c>
    </row>
    <row r="27" spans="1:16" x14ac:dyDescent="0.25">
      <c r="A27" s="139">
        <v>4</v>
      </c>
      <c r="B27" s="95">
        <f>-Acquisition!$B$23</f>
        <v>-600100</v>
      </c>
      <c r="C27" s="95">
        <f>IF(1&lt;=4,C7+IF(AND(Assumptions!$B$67=1,1=(INT((Assumptions!$B$68-1)/12)+1),(INT((Assumptions!$B$68-1)/12)+1)&lt;=4),Refinance!$B$14,0)+IF(1=4,Exit!G21,0),0)</f>
        <v>22074.913333333323</v>
      </c>
      <c r="D27" s="95">
        <f>IF(2&lt;=4,D7+IF(AND(Assumptions!$B$67=1,2=(INT((Assumptions!$B$68-1)/12)+1),(INT((Assumptions!$B$68-1)/12)+1)&lt;=4),Refinance!$B$14,0)+IF(2=4,Exit!G21,0),0)</f>
        <v>60285.637633333397</v>
      </c>
      <c r="E27" s="95">
        <f>IF(3&lt;=4,E7+IF(AND(Assumptions!$B$67=1,3=(INT((Assumptions!$B$68-1)/12)+1),(INT((Assumptions!$B$68-1)/12)+1)&lt;=4),Refinance!$B$14,0)+IF(3=4,Exit!G21,0),0)</f>
        <v>672056.0660397606</v>
      </c>
      <c r="F27" s="95">
        <f>IF(4&lt;=4,F7+IF(AND(Assumptions!$B$67=1,4=(INT((Assumptions!$B$68-1)/12)+1),(INT((Assumptions!$B$68-1)/12)+1)&lt;=4),Refinance!$B$14,0)+IF(4=4,Exit!G21,0),0)</f>
        <v>624478.49753121322</v>
      </c>
      <c r="G27" s="95">
        <f>IF(5&lt;=4,G7+IF(AND(Assumptions!$B$67=1,5=(INT((Assumptions!$B$68-1)/12)+1),(INT((Assumptions!$B$68-1)/12)+1)&lt;=4),Refinance!$B$14,0)+IF(5=4,Exit!G21,0),0)</f>
        <v>0</v>
      </c>
      <c r="H27" s="95">
        <f>IF(6&lt;=4,H7+IF(AND(Assumptions!$B$67=1,6=(INT((Assumptions!$B$68-1)/12)+1),(INT((Assumptions!$B$68-1)/12)+1)&lt;=4),Refinance!$B$14,0)+IF(6=4,Exit!G21,0),0)</f>
        <v>0</v>
      </c>
      <c r="I27" s="95">
        <f>IF(7&lt;=4,I7+IF(AND(Assumptions!$B$67=1,7=(INT((Assumptions!$B$68-1)/12)+1),(INT((Assumptions!$B$68-1)/12)+1)&lt;=4),Refinance!$B$14,0)+IF(7=4,Exit!G21,0),0)</f>
        <v>0</v>
      </c>
      <c r="J27" s="95">
        <f>IF(8&lt;=4,J7+IF(AND(Assumptions!$B$67=1,8=(INT((Assumptions!$B$68-1)/12)+1),(INT((Assumptions!$B$68-1)/12)+1)&lt;=4),Refinance!$B$14,0)+IF(8=4,Exit!G21,0),0)</f>
        <v>0</v>
      </c>
      <c r="K27" s="95">
        <f>IF(9&lt;=4,K7+IF(AND(Assumptions!$B$67=1,9=(INT((Assumptions!$B$68-1)/12)+1),(INT((Assumptions!$B$68-1)/12)+1)&lt;=4),Refinance!$B$14,0)+IF(9=4,Exit!G21,0),0)</f>
        <v>0</v>
      </c>
      <c r="L27" s="96">
        <f>IF(10&lt;=4,L7+IF(AND(Assumptions!$B$67=1,10=(INT((Assumptions!$B$68-1)/12)+1),(INT((Assumptions!$B$68-1)/12)+1)&lt;=4),Refinance!$B$14,0)+IF(10=4,Exit!G21,0),0)</f>
        <v>0</v>
      </c>
      <c r="N27" s="97">
        <f t="shared" si="2"/>
        <v>0.28458014255543396</v>
      </c>
      <c r="O27" s="98">
        <f>IFERROR(SUMIF(C27:L27,"&gt;0")/Acquisition!$B$23,0)</f>
        <v>2.2977755616357949</v>
      </c>
      <c r="P27" s="95">
        <f>SUM(C27:L27)-Acquisition!$B$23</f>
        <v>778795.11453764047</v>
      </c>
    </row>
    <row r="28" spans="1:16" x14ac:dyDescent="0.25">
      <c r="A28" s="139">
        <v>5</v>
      </c>
      <c r="B28" s="95">
        <f>-Acquisition!$B$23</f>
        <v>-600100</v>
      </c>
      <c r="C28" s="95">
        <f>IF(1&lt;=5,C7+IF(AND(Assumptions!$B$67=1,1=(INT((Assumptions!$B$68-1)/12)+1),(INT((Assumptions!$B$68-1)/12)+1)&lt;=5),Refinance!$B$14,0)+IF(1=5,Exit!G22,0),0)</f>
        <v>22074.913333333323</v>
      </c>
      <c r="D28" s="95">
        <f>IF(2&lt;=5,D7+IF(AND(Assumptions!$B$67=1,2=(INT((Assumptions!$B$68-1)/12)+1),(INT((Assumptions!$B$68-1)/12)+1)&lt;=5),Refinance!$B$14,0)+IF(2=5,Exit!G22,0),0)</f>
        <v>60285.637633333397</v>
      </c>
      <c r="E28" s="95">
        <f>IF(3&lt;=5,E7+IF(AND(Assumptions!$B$67=1,3=(INT((Assumptions!$B$68-1)/12)+1),(INT((Assumptions!$B$68-1)/12)+1)&lt;=5),Refinance!$B$14,0)+IF(3=5,Exit!G22,0),0)</f>
        <v>672056.0660397606</v>
      </c>
      <c r="F28" s="95">
        <f>IF(4&lt;=5,F7+IF(AND(Assumptions!$B$67=1,4=(INT((Assumptions!$B$68-1)/12)+1),(INT((Assumptions!$B$68-1)/12)+1)&lt;=5),Refinance!$B$14,0)+IF(4=5,Exit!G22,0),0)</f>
        <v>23248.685451384037</v>
      </c>
      <c r="G28" s="95">
        <f>IF(5&lt;=5,G7+IF(AND(Assumptions!$B$67=1,5=(INT((Assumptions!$B$68-1)/12)+1),(INT((Assumptions!$B$68-1)/12)+1)&lt;=5),Refinance!$B$14,0)+IF(5=5,Exit!G22,0),0)</f>
        <v>730404.84834105056</v>
      </c>
      <c r="H28" s="95">
        <f>IF(6&lt;=5,H7+IF(AND(Assumptions!$B$67=1,6=(INT((Assumptions!$B$68-1)/12)+1),(INT((Assumptions!$B$68-1)/12)+1)&lt;=5),Refinance!$B$14,0)+IF(6=5,Exit!G22,0),0)</f>
        <v>0</v>
      </c>
      <c r="I28" s="95">
        <f>IF(7&lt;=5,I7+IF(AND(Assumptions!$B$67=1,7=(INT((Assumptions!$B$68-1)/12)+1),(INT((Assumptions!$B$68-1)/12)+1)&lt;=5),Refinance!$B$14,0)+IF(7=5,Exit!G22,0),0)</f>
        <v>0</v>
      </c>
      <c r="J28" s="95">
        <f>IF(8&lt;=5,J7+IF(AND(Assumptions!$B$67=1,8=(INT((Assumptions!$B$68-1)/12)+1),(INT((Assumptions!$B$68-1)/12)+1)&lt;=5),Refinance!$B$14,0)+IF(8=5,Exit!G22,0),0)</f>
        <v>0</v>
      </c>
      <c r="K28" s="95">
        <f>IF(9&lt;=5,K7+IF(AND(Assumptions!$B$67=1,9=(INT((Assumptions!$B$68-1)/12)+1),(INT((Assumptions!$B$68-1)/12)+1)&lt;=5),Refinance!$B$14,0)+IF(9=5,Exit!G22,0),0)</f>
        <v>0</v>
      </c>
      <c r="L28" s="96">
        <f>IF(10&lt;=5,L7+IF(AND(Assumptions!$B$67=1,10=(INT((Assumptions!$B$68-1)/12)+1),(INT((Assumptions!$B$68-1)/12)+1)&lt;=5),Refinance!$B$14,0)+IF(10=5,Exit!G22,0),0)</f>
        <v>0</v>
      </c>
      <c r="N28" s="97">
        <f t="shared" si="2"/>
        <v>0.27741656061743103</v>
      </c>
      <c r="O28" s="98">
        <f>IFERROR(SUMIF(C28:L28,"&gt;0")/Acquisition!$B$23,0)</f>
        <v>2.5130314127626425</v>
      </c>
      <c r="P28" s="95">
        <f>SUM(C28:L28)-Acquisition!$B$23</f>
        <v>907970.15079886187</v>
      </c>
    </row>
    <row r="29" spans="1:16" x14ac:dyDescent="0.25">
      <c r="A29" s="139">
        <v>6</v>
      </c>
      <c r="B29" s="95">
        <f>-Acquisition!$B$23</f>
        <v>-600100</v>
      </c>
      <c r="C29" s="95">
        <f>IF(1&lt;=6,C7+IF(AND(Assumptions!$B$67=1,1=(INT((Assumptions!$B$68-1)/12)+1),(INT((Assumptions!$B$68-1)/12)+1)&lt;=6),Refinance!$B$14,0)+IF(1=6,Exit!G23,0),0)</f>
        <v>22074.913333333323</v>
      </c>
      <c r="D29" s="95">
        <f>IF(2&lt;=6,D7+IF(AND(Assumptions!$B$67=1,2=(INT((Assumptions!$B$68-1)/12)+1),(INT((Assumptions!$B$68-1)/12)+1)&lt;=6),Refinance!$B$14,0)+IF(2=6,Exit!G23,0),0)</f>
        <v>60285.637633333397</v>
      </c>
      <c r="E29" s="95">
        <f>IF(3&lt;=6,E7+IF(AND(Assumptions!$B$67=1,3=(INT((Assumptions!$B$68-1)/12)+1),(INT((Assumptions!$B$68-1)/12)+1)&lt;=6),Refinance!$B$14,0)+IF(3=6,Exit!G23,0),0)</f>
        <v>672056.0660397606</v>
      </c>
      <c r="F29" s="95">
        <f>IF(4&lt;=6,F7+IF(AND(Assumptions!$B$67=1,4=(INT((Assumptions!$B$68-1)/12)+1),(INT((Assumptions!$B$68-1)/12)+1)&lt;=6),Refinance!$B$14,0)+IF(4=6,Exit!G23,0),0)</f>
        <v>23248.685451384037</v>
      </c>
      <c r="G29" s="95">
        <f>IF(5&lt;=6,G7+IF(AND(Assumptions!$B$67=1,5=(INT((Assumptions!$B$68-1)/12)+1),(INT((Assumptions!$B$68-1)/12)+1)&lt;=6),Refinance!$B$14,0)+IF(5=6,Exit!G23,0),0)</f>
        <v>28417.117916216623</v>
      </c>
      <c r="H29" s="95">
        <f>IF(6&lt;=6,H7+IF(AND(Assumptions!$B$67=1,6=(INT((Assumptions!$B$68-1)/12)+1),(INT((Assumptions!$B$68-1)/12)+1)&lt;=6),Refinance!$B$14,0)+IF(6=6,Exit!G23,0),0)</f>
        <v>840606.45833009947</v>
      </c>
      <c r="I29" s="95">
        <f>IF(7&lt;=6,I7+IF(AND(Assumptions!$B$67=1,7=(INT((Assumptions!$B$68-1)/12)+1),(INT((Assumptions!$B$68-1)/12)+1)&lt;=6),Refinance!$B$14,0)+IF(7=6,Exit!G23,0),0)</f>
        <v>0</v>
      </c>
      <c r="J29" s="95">
        <f>IF(8&lt;=6,J7+IF(AND(Assumptions!$B$67=1,8=(INT((Assumptions!$B$68-1)/12)+1),(INT((Assumptions!$B$68-1)/12)+1)&lt;=6),Refinance!$B$14,0)+IF(8=6,Exit!G23,0),0)</f>
        <v>0</v>
      </c>
      <c r="K29" s="95">
        <f>IF(9&lt;=6,K7+IF(AND(Assumptions!$B$67=1,9=(INT((Assumptions!$B$68-1)/12)+1),(INT((Assumptions!$B$68-1)/12)+1)&lt;=6),Refinance!$B$14,0)+IF(9=6,Exit!G23,0),0)</f>
        <v>0</v>
      </c>
      <c r="L29" s="96">
        <f>IF(10&lt;=6,L7+IF(AND(Assumptions!$B$67=1,10=(INT((Assumptions!$B$68-1)/12)+1),(INT((Assumptions!$B$68-1)/12)+1)&lt;=6),Refinance!$B$14,0)+IF(10=6,Exit!G23,0),0)</f>
        <v>0</v>
      </c>
      <c r="N29" s="97">
        <f t="shared" si="2"/>
        <v>0.27033932522049309</v>
      </c>
      <c r="O29" s="98">
        <f>IFERROR(SUMIF(C29:L29,"&gt;0")/Acquisition!$B$23,0)</f>
        <v>2.7440241271523536</v>
      </c>
      <c r="P29" s="95">
        <f>SUM(C29:L29)-Acquisition!$B$23</f>
        <v>1046588.8787041274</v>
      </c>
    </row>
    <row r="30" spans="1:16" x14ac:dyDescent="0.25">
      <c r="A30" s="139">
        <v>7</v>
      </c>
      <c r="B30" s="95">
        <f>-Acquisition!$B$23</f>
        <v>-600100</v>
      </c>
      <c r="C30" s="95">
        <f>IF(1&lt;=7,C7+IF(AND(Assumptions!$B$67=1,1=(INT((Assumptions!$B$68-1)/12)+1),(INT((Assumptions!$B$68-1)/12)+1)&lt;=7),Refinance!$B$14,0)+IF(1=7,Exit!G24,0),0)</f>
        <v>22074.913333333323</v>
      </c>
      <c r="D30" s="95">
        <f>IF(2&lt;=7,D7+IF(AND(Assumptions!$B$67=1,2=(INT((Assumptions!$B$68-1)/12)+1),(INT((Assumptions!$B$68-1)/12)+1)&lt;=7),Refinance!$B$14,0)+IF(2=7,Exit!G24,0),0)</f>
        <v>60285.637633333397</v>
      </c>
      <c r="E30" s="95">
        <f>IF(3&lt;=7,E7+IF(AND(Assumptions!$B$67=1,3=(INT((Assumptions!$B$68-1)/12)+1),(INT((Assumptions!$B$68-1)/12)+1)&lt;=7),Refinance!$B$14,0)+IF(3=7,Exit!G24,0),0)</f>
        <v>672056.0660397606</v>
      </c>
      <c r="F30" s="95">
        <f>IF(4&lt;=7,F7+IF(AND(Assumptions!$B$67=1,4=(INT((Assumptions!$B$68-1)/12)+1),(INT((Assumptions!$B$68-1)/12)+1)&lt;=7),Refinance!$B$14,0)+IF(4=7,Exit!G24,0),0)</f>
        <v>23248.685451384037</v>
      </c>
      <c r="G30" s="95">
        <f>IF(5&lt;=7,G7+IF(AND(Assumptions!$B$67=1,5=(INT((Assumptions!$B$68-1)/12)+1),(INT((Assumptions!$B$68-1)/12)+1)&lt;=7),Refinance!$B$14,0)+IF(5=7,Exit!G24,0),0)</f>
        <v>28417.117916216623</v>
      </c>
      <c r="H30" s="95">
        <f>IF(6&lt;=7,H7+IF(AND(Assumptions!$B$67=1,6=(INT((Assumptions!$B$68-1)/12)+1),(INT((Assumptions!$B$68-1)/12)+1)&lt;=7),Refinance!$B$14,0)+IF(6=7,Exit!G24,0),0)</f>
        <v>33769.708908672459</v>
      </c>
      <c r="I30" s="95">
        <f>IF(7&lt;=7,I7+IF(AND(Assumptions!$B$67=1,7=(INT((Assumptions!$B$68-1)/12)+1),(INT((Assumptions!$B$68-1)/12)+1)&lt;=7),Refinance!$B$14,0)+IF(7=7,Exit!G24,0),0)</f>
        <v>955262.34544845147</v>
      </c>
      <c r="J30" s="95">
        <f>IF(8&lt;=7,J7+IF(AND(Assumptions!$B$67=1,8=(INT((Assumptions!$B$68-1)/12)+1),(INT((Assumptions!$B$68-1)/12)+1)&lt;=7),Refinance!$B$14,0)+IF(8=7,Exit!G24,0),0)</f>
        <v>0</v>
      </c>
      <c r="K30" s="95">
        <f>IF(9&lt;=7,K7+IF(AND(Assumptions!$B$67=1,9=(INT((Assumptions!$B$68-1)/12)+1),(INT((Assumptions!$B$68-1)/12)+1)&lt;=7),Refinance!$B$14,0)+IF(9=7,Exit!G24,0),0)</f>
        <v>0</v>
      </c>
      <c r="L30" s="96">
        <f>IF(10&lt;=7,L7+IF(AND(Assumptions!$B$67=1,10=(INT((Assumptions!$B$68-1)/12)+1),(INT((Assumptions!$B$68-1)/12)+1)&lt;=7),Refinance!$B$14,0)+IF(10=7,Exit!G24,0),0)</f>
        <v>0</v>
      </c>
      <c r="N30" s="97">
        <f t="shared" si="2"/>
        <v>0.26369183679454222</v>
      </c>
      <c r="O30" s="98">
        <f>IFERROR(SUMIF(C30:L30,"&gt;0")/Acquisition!$B$23,0)</f>
        <v>2.9913588980689085</v>
      </c>
      <c r="P30" s="95">
        <f>SUM(C30:L30)-Acquisition!$B$23</f>
        <v>1195014.4747311519</v>
      </c>
    </row>
    <row r="31" spans="1:16" x14ac:dyDescent="0.25">
      <c r="A31" s="139">
        <v>8</v>
      </c>
      <c r="B31" s="95">
        <f>-Acquisition!$B$23</f>
        <v>-600100</v>
      </c>
      <c r="C31" s="95">
        <f>IF(1&lt;=8,C7+IF(AND(Assumptions!$B$67=1,1=(INT((Assumptions!$B$68-1)/12)+1),(INT((Assumptions!$B$68-1)/12)+1)&lt;=8),Refinance!$B$14,0)+IF(1=8,Exit!G25,0),0)</f>
        <v>22074.913333333323</v>
      </c>
      <c r="D31" s="95">
        <f>IF(2&lt;=8,D7+IF(AND(Assumptions!$B$67=1,2=(INT((Assumptions!$B$68-1)/12)+1),(INT((Assumptions!$B$68-1)/12)+1)&lt;=8),Refinance!$B$14,0)+IF(2=8,Exit!G25,0),0)</f>
        <v>60285.637633333397</v>
      </c>
      <c r="E31" s="95">
        <f>IF(3&lt;=8,E7+IF(AND(Assumptions!$B$67=1,3=(INT((Assumptions!$B$68-1)/12)+1),(INT((Assumptions!$B$68-1)/12)+1)&lt;=8),Refinance!$B$14,0)+IF(3=8,Exit!G25,0),0)</f>
        <v>672056.0660397606</v>
      </c>
      <c r="F31" s="95">
        <f>IF(4&lt;=8,F7+IF(AND(Assumptions!$B$67=1,4=(INT((Assumptions!$B$68-1)/12)+1),(INT((Assumptions!$B$68-1)/12)+1)&lt;=8),Refinance!$B$14,0)+IF(4=8,Exit!G25,0),0)</f>
        <v>23248.685451384037</v>
      </c>
      <c r="G31" s="95">
        <f>IF(5&lt;=8,G7+IF(AND(Assumptions!$B$67=1,5=(INT((Assumptions!$B$68-1)/12)+1),(INT((Assumptions!$B$68-1)/12)+1)&lt;=8),Refinance!$B$14,0)+IF(5=8,Exit!G25,0),0)</f>
        <v>28417.117916216623</v>
      </c>
      <c r="H31" s="95">
        <f>IF(6&lt;=8,H7+IF(AND(Assumptions!$B$67=1,6=(INT((Assumptions!$B$68-1)/12)+1),(INT((Assumptions!$B$68-1)/12)+1)&lt;=8),Refinance!$B$14,0)+IF(6=8,Exit!G25,0),0)</f>
        <v>33769.708908672459</v>
      </c>
      <c r="I31" s="95">
        <f>IF(7&lt;=8,I7+IF(AND(Assumptions!$B$67=1,7=(INT((Assumptions!$B$68-1)/12)+1),(INT((Assumptions!$B$68-1)/12)+1)&lt;=8),Refinance!$B$14,0)+IF(7=8,Exit!G25,0),0)</f>
        <v>39312.710823421992</v>
      </c>
      <c r="J31" s="95">
        <f>IF(8&lt;=8,J7+IF(AND(Assumptions!$B$67=1,8=(INT((Assumptions!$B$68-1)/12)+1),(INT((Assumptions!$B$68-1)/12)+1)&lt;=8),Refinance!$B$14,0)+IF(8=8,Exit!G25,0),0)</f>
        <v>1074559.6057289406</v>
      </c>
      <c r="K31" s="95">
        <f>IF(9&lt;=8,K7+IF(AND(Assumptions!$B$67=1,9=(INT((Assumptions!$B$68-1)/12)+1),(INT((Assumptions!$B$68-1)/12)+1)&lt;=8),Refinance!$B$14,0)+IF(9=8,Exit!G25,0),0)</f>
        <v>0</v>
      </c>
      <c r="L31" s="96">
        <f>IF(10&lt;=8,L7+IF(AND(Assumptions!$B$67=1,10=(INT((Assumptions!$B$68-1)/12)+1),(INT((Assumptions!$B$68-1)/12)+1)&lt;=8),Refinance!$B$14,0)+IF(10=8,Exit!G25,0),0)</f>
        <v>0</v>
      </c>
      <c r="N31" s="97">
        <f t="shared" si="2"/>
        <v>0.25758923667805944</v>
      </c>
      <c r="O31" s="98">
        <f>IFERROR(SUMIF(C31:L31,"&gt;0")/Acquisition!$B$23,0)</f>
        <v>3.255664798925284</v>
      </c>
      <c r="P31" s="95">
        <f>SUM(C31:L31)-Acquisition!$B$23</f>
        <v>1353624.445835063</v>
      </c>
    </row>
    <row r="32" spans="1:16" x14ac:dyDescent="0.25">
      <c r="A32" s="139">
        <v>9</v>
      </c>
      <c r="B32" s="95">
        <f>-Acquisition!$B$23</f>
        <v>-600100</v>
      </c>
      <c r="C32" s="95">
        <f>IF(1&lt;=9,C7+IF(AND(Assumptions!$B$67=1,1=(INT((Assumptions!$B$68-1)/12)+1),(INT((Assumptions!$B$68-1)/12)+1)&lt;=9),Refinance!$B$14,0)+IF(1=9,Exit!G26,0),0)</f>
        <v>22074.913333333323</v>
      </c>
      <c r="D32" s="95">
        <f>IF(2&lt;=9,D7+IF(AND(Assumptions!$B$67=1,2=(INT((Assumptions!$B$68-1)/12)+1),(INT((Assumptions!$B$68-1)/12)+1)&lt;=9),Refinance!$B$14,0)+IF(2=9,Exit!G26,0),0)</f>
        <v>60285.637633333397</v>
      </c>
      <c r="E32" s="95">
        <f>IF(3&lt;=9,E7+IF(AND(Assumptions!$B$67=1,3=(INT((Assumptions!$B$68-1)/12)+1),(INT((Assumptions!$B$68-1)/12)+1)&lt;=9),Refinance!$B$14,0)+IF(3=9,Exit!G26,0),0)</f>
        <v>672056.0660397606</v>
      </c>
      <c r="F32" s="95">
        <f>IF(4&lt;=9,F7+IF(AND(Assumptions!$B$67=1,4=(INT((Assumptions!$B$68-1)/12)+1),(INT((Assumptions!$B$68-1)/12)+1)&lt;=9),Refinance!$B$14,0)+IF(4=9,Exit!G26,0),0)</f>
        <v>23248.685451384037</v>
      </c>
      <c r="G32" s="95">
        <f>IF(5&lt;=9,G7+IF(AND(Assumptions!$B$67=1,5=(INT((Assumptions!$B$68-1)/12)+1),(INT((Assumptions!$B$68-1)/12)+1)&lt;=9),Refinance!$B$14,0)+IF(5=9,Exit!G26,0),0)</f>
        <v>28417.117916216623</v>
      </c>
      <c r="H32" s="95">
        <f>IF(6&lt;=9,H7+IF(AND(Assumptions!$B$67=1,6=(INT((Assumptions!$B$68-1)/12)+1),(INT((Assumptions!$B$68-1)/12)+1)&lt;=9),Refinance!$B$14,0)+IF(6=9,Exit!G26,0),0)</f>
        <v>33769.708908672459</v>
      </c>
      <c r="I32" s="95">
        <f>IF(7&lt;=9,I7+IF(AND(Assumptions!$B$67=1,7=(INT((Assumptions!$B$68-1)/12)+1),(INT((Assumptions!$B$68-1)/12)+1)&lt;=9),Refinance!$B$14,0)+IF(7=9,Exit!G26,0),0)</f>
        <v>39312.710823421992</v>
      </c>
      <c r="J32" s="95">
        <f>IF(8&lt;=9,J7+IF(AND(Assumptions!$B$67=1,8=(INT((Assumptions!$B$68-1)/12)+1),(INT((Assumptions!$B$68-1)/12)+1)&lt;=9),Refinance!$B$14,0)+IF(8=9,Exit!G26,0),0)</f>
        <v>45052.581817946964</v>
      </c>
      <c r="K32" s="95">
        <f>IF(9&lt;=9,K7+IF(AND(Assumptions!$B$67=1,9=(INT((Assumptions!$B$68-1)/12)+1),(INT((Assumptions!$B$68-1)/12)+1)&lt;=9),Refinance!$B$14,0)+IF(9=9,Exit!G26,0),0)</f>
        <v>1198693.8120442366</v>
      </c>
      <c r="L32" s="96">
        <f>IF(10&lt;=9,L7+IF(AND(Assumptions!$B$67=1,10=(INT((Assumptions!$B$68-1)/12)+1),(INT((Assumptions!$B$68-1)/12)+1)&lt;=9),Refinance!$B$14,0)+IF(10=9,Exit!G26,0),0)</f>
        <v>0</v>
      </c>
      <c r="N32" s="97">
        <f t="shared" si="2"/>
        <v>0.25204830424312918</v>
      </c>
      <c r="O32" s="98">
        <f>IFERROR(SUMIF(C32:L32,"&gt;0")/Acquisition!$B$23,0)</f>
        <v>3.537595790648735</v>
      </c>
      <c r="P32" s="95">
        <f>SUM(C32:L32)-Acquisition!$B$23</f>
        <v>1522811.2339683059</v>
      </c>
    </row>
    <row r="33" spans="1:16" x14ac:dyDescent="0.25">
      <c r="A33" s="139">
        <v>10</v>
      </c>
      <c r="B33" s="95">
        <f>-Acquisition!$B$23</f>
        <v>-600100</v>
      </c>
      <c r="C33" s="95">
        <f>IF(1&lt;=10,C7+IF(AND(Assumptions!$B$67=1,1=(INT((Assumptions!$B$68-1)/12)+1),(INT((Assumptions!$B$68-1)/12)+1)&lt;=10),Refinance!$B$14,0)+IF(1=10,Exit!G27,0),0)</f>
        <v>22074.913333333323</v>
      </c>
      <c r="D33" s="95">
        <f>IF(2&lt;=10,D7+IF(AND(Assumptions!$B$67=1,2=(INT((Assumptions!$B$68-1)/12)+1),(INT((Assumptions!$B$68-1)/12)+1)&lt;=10),Refinance!$B$14,0)+IF(2=10,Exit!G27,0),0)</f>
        <v>60285.637633333397</v>
      </c>
      <c r="E33" s="95">
        <f>IF(3&lt;=10,E7+IF(AND(Assumptions!$B$67=1,3=(INT((Assumptions!$B$68-1)/12)+1),(INT((Assumptions!$B$68-1)/12)+1)&lt;=10),Refinance!$B$14,0)+IF(3=10,Exit!G27,0),0)</f>
        <v>672056.0660397606</v>
      </c>
      <c r="F33" s="95">
        <f>IF(4&lt;=10,F7+IF(AND(Assumptions!$B$67=1,4=(INT((Assumptions!$B$68-1)/12)+1),(INT((Assumptions!$B$68-1)/12)+1)&lt;=10),Refinance!$B$14,0)+IF(4=10,Exit!G27,0),0)</f>
        <v>23248.685451384037</v>
      </c>
      <c r="G33" s="95">
        <f>IF(5&lt;=10,G7+IF(AND(Assumptions!$B$67=1,5=(INT((Assumptions!$B$68-1)/12)+1),(INT((Assumptions!$B$68-1)/12)+1)&lt;=10),Refinance!$B$14,0)+IF(5=10,Exit!G27,0),0)</f>
        <v>28417.117916216623</v>
      </c>
      <c r="H33" s="95">
        <f>IF(6&lt;=10,H7+IF(AND(Assumptions!$B$67=1,6=(INT((Assumptions!$B$68-1)/12)+1),(INT((Assumptions!$B$68-1)/12)+1)&lt;=10),Refinance!$B$14,0)+IF(6=10,Exit!G27,0),0)</f>
        <v>33769.708908672459</v>
      </c>
      <c r="I33" s="95">
        <f>IF(7&lt;=10,I7+IF(AND(Assumptions!$B$67=1,7=(INT((Assumptions!$B$68-1)/12)+1),(INT((Assumptions!$B$68-1)/12)+1)&lt;=10),Refinance!$B$14,0)+IF(7=10,Exit!G27,0),0)</f>
        <v>39312.710823421992</v>
      </c>
      <c r="J33" s="95">
        <f>IF(8&lt;=10,J7+IF(AND(Assumptions!$B$67=1,8=(INT((Assumptions!$B$68-1)/12)+1),(INT((Assumptions!$B$68-1)/12)+1)&lt;=10),Refinance!$B$14,0)+IF(8=10,Exit!G27,0),0)</f>
        <v>45052.581817946964</v>
      </c>
      <c r="K33" s="95">
        <f>IF(9&lt;=10,K7+IF(AND(Assumptions!$B$67=1,9=(INT((Assumptions!$B$68-1)/12)+1),(INT((Assumptions!$B$68-1)/12)+1)&lt;=10),Refinance!$B$14,0)+IF(9=10,Exit!G27,0),0)</f>
        <v>50995.992440198999</v>
      </c>
      <c r="L33" s="96">
        <f>IF(10&lt;=10,L7+IF(AND(Assumptions!$B$67=1,10=(INT((Assumptions!$B$68-1)/12)+1),(INT((Assumptions!$B$68-1)/12)+1)&lt;=10),Refinance!$B$14,0)+IF(10=10,Exit!G27,0),0)</f>
        <v>1231924.4970547569</v>
      </c>
      <c r="N33" s="97">
        <f t="shared" si="2"/>
        <v>0.2424330949026694</v>
      </c>
      <c r="O33" s="98">
        <f>IFERROR(SUMIF(C33:L33,"&gt;0")/Acquisition!$B$23,0)</f>
        <v>3.6779501939993753</v>
      </c>
      <c r="P33" s="95">
        <f>SUM(C33:L33)-Acquisition!$B$23</f>
        <v>1607037.9114190252</v>
      </c>
    </row>
  </sheetData>
  <mergeCells count="4">
    <mergeCell ref="A1:L1"/>
    <mergeCell ref="A2:L2"/>
    <mergeCell ref="A14:B14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showGridLines="0" zoomScaleNormal="100" workbookViewId="0">
      <selection activeCell="E27" sqref="E27"/>
    </sheetView>
  </sheetViews>
  <sheetFormatPr defaultColWidth="8.7109375" defaultRowHeight="15" x14ac:dyDescent="0.25"/>
  <cols>
    <col min="1" max="1" width="34" customWidth="1"/>
    <col min="2" max="12" width="12" customWidth="1"/>
  </cols>
  <sheetData>
    <row r="1" spans="1:12" ht="24" customHeight="1" x14ac:dyDescent="0.25">
      <c r="A1" s="141" t="s">
        <v>387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3.5" customHeight="1" x14ac:dyDescent="0.25">
      <c r="A2" s="142" t="s">
        <v>388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x14ac:dyDescent="0.25">
      <c r="A4" s="86" t="s">
        <v>389</v>
      </c>
      <c r="B4" s="49" t="s">
        <v>390</v>
      </c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" t="s">
        <v>363</v>
      </c>
      <c r="B5" s="87" t="s">
        <v>391</v>
      </c>
      <c r="C5" s="88">
        <f>SUM('Monthly Operations'!D42:O42)</f>
        <v>81224.913333333316</v>
      </c>
      <c r="D5" s="88">
        <f>SUM('Monthly Operations'!P42:AA42)</f>
        <v>119435.63763333339</v>
      </c>
      <c r="E5" s="88">
        <f>SUM('Monthly Operations'!AB42:AM42)</f>
        <v>128483.35026400005</v>
      </c>
      <c r="F5" s="88">
        <f>SUM('Monthly Operations'!AN42:AY42)</f>
        <v>133473.67725692005</v>
      </c>
      <c r="G5" s="88">
        <f>SUM('Monthly Operations'!AZ42:BK42)</f>
        <v>138642.10972175264</v>
      </c>
      <c r="H5" s="88">
        <f>SUM('Monthly Operations'!BL42:BW42)</f>
        <v>143994.70071420848</v>
      </c>
      <c r="I5" s="88">
        <f>SUM('Monthly Operations'!BX42:CI42)</f>
        <v>149537.70262895801</v>
      </c>
      <c r="J5" s="88">
        <f>SUM('Monthly Operations'!CJ42:CU42)</f>
        <v>155277.57362348298</v>
      </c>
      <c r="K5" s="88">
        <f>SUM('Monthly Operations'!CV42:DG42)</f>
        <v>161220.98424573502</v>
      </c>
      <c r="L5" s="88">
        <f>SUM('Monthly Operations'!DH42:DS42)</f>
        <v>167374.82427199345</v>
      </c>
    </row>
    <row r="6" spans="1:12" x14ac:dyDescent="0.25">
      <c r="A6" s="1" t="s">
        <v>334</v>
      </c>
      <c r="B6" s="87" t="s">
        <v>391</v>
      </c>
      <c r="C6" s="88">
        <f>-SUM('Debt Schedule'!D18:O18)</f>
        <v>-59149.999999999993</v>
      </c>
      <c r="D6" s="88">
        <f>-SUM('Debt Schedule'!P18:AA18)</f>
        <v>-59149.999999999993</v>
      </c>
      <c r="E6" s="88">
        <f>-SUM('Debt Schedule'!AB18:AM18)</f>
        <v>-72455.425135440339</v>
      </c>
      <c r="F6" s="88">
        <f>-SUM('Debt Schedule'!AN18:AY18)</f>
        <v>-110224.99180553602</v>
      </c>
      <c r="G6" s="88">
        <f>-SUM('Debt Schedule'!AZ18:BK18)</f>
        <v>-110224.99180553602</v>
      </c>
      <c r="H6" s="88">
        <f>-SUM('Debt Schedule'!BL18:BW18)</f>
        <v>-110224.99180553602</v>
      </c>
      <c r="I6" s="88">
        <f>-SUM('Debt Schedule'!BX18:CI18)</f>
        <v>-110224.99180553602</v>
      </c>
      <c r="J6" s="88">
        <f>-SUM('Debt Schedule'!CJ18:CU18)</f>
        <v>-110224.99180553602</v>
      </c>
      <c r="K6" s="88">
        <f>-SUM('Debt Schedule'!CV18:DG18)</f>
        <v>-110224.99180553602</v>
      </c>
      <c r="L6" s="88">
        <f>-SUM('Debt Schedule'!DH18:DS18)</f>
        <v>-110224.99180553602</v>
      </c>
    </row>
    <row r="7" spans="1:12" x14ac:dyDescent="0.25">
      <c r="A7" s="14" t="s">
        <v>392</v>
      </c>
      <c r="B7" s="87" t="s">
        <v>391</v>
      </c>
      <c r="C7" s="67">
        <f t="shared" ref="C7:L7" si="0">C5+C6</f>
        <v>22074.913333333323</v>
      </c>
      <c r="D7" s="67">
        <f t="shared" si="0"/>
        <v>60285.637633333397</v>
      </c>
      <c r="E7" s="67">
        <f t="shared" si="0"/>
        <v>56027.925128559713</v>
      </c>
      <c r="F7" s="67">
        <f t="shared" si="0"/>
        <v>23248.685451384037</v>
      </c>
      <c r="G7" s="67">
        <f t="shared" si="0"/>
        <v>28417.117916216623</v>
      </c>
      <c r="H7" s="67">
        <f t="shared" si="0"/>
        <v>33769.708908672459</v>
      </c>
      <c r="I7" s="67">
        <f t="shared" si="0"/>
        <v>39312.710823421992</v>
      </c>
      <c r="J7" s="67">
        <f t="shared" si="0"/>
        <v>45052.581817946964</v>
      </c>
      <c r="K7" s="67">
        <f t="shared" si="0"/>
        <v>50995.992440198999</v>
      </c>
      <c r="L7" s="67">
        <f t="shared" si="0"/>
        <v>57149.832466457432</v>
      </c>
    </row>
    <row r="8" spans="1:12" x14ac:dyDescent="0.25">
      <c r="A8" s="1" t="s">
        <v>393</v>
      </c>
      <c r="B8" s="87" t="s">
        <v>391</v>
      </c>
      <c r="C8" s="88">
        <f>IF(AND(Assumptions!$B$67=1,(INT((Assumptions!$B$68-1)/12)+1)=COLUMN(A1),(INT((Assumptions!$B$68-1)/12)+1)&lt;=Exit!$B$6),Refinance!$B$14,0)</f>
        <v>0</v>
      </c>
      <c r="D8" s="88">
        <f>IF(AND(Assumptions!$B$67=1,(INT((Assumptions!$B$68-1)/12)+1)=COLUMN(B1),(INT((Assumptions!$B$68-1)/12)+1)&lt;=Exit!$B$6),Refinance!$B$14,0)</f>
        <v>0</v>
      </c>
      <c r="E8" s="88">
        <f>IF(AND(Assumptions!$B$67=1,(INT((Assumptions!$B$68-1)/12)+1)=COLUMN(C1),(INT((Assumptions!$B$68-1)/12)+1)&lt;=Exit!$B$6),Refinance!$B$14,0)</f>
        <v>616028.1409112009</v>
      </c>
      <c r="F8" s="88">
        <f>IF(AND(Assumptions!$B$67=1,(INT((Assumptions!$B$68-1)/12)+1)=COLUMN(D1),(INT((Assumptions!$B$68-1)/12)+1)&lt;=Exit!$B$6),Refinance!$B$14,0)</f>
        <v>0</v>
      </c>
      <c r="G8" s="88">
        <f>IF(AND(Assumptions!$B$67=1,(INT((Assumptions!$B$68-1)/12)+1)=COLUMN(E1),(INT((Assumptions!$B$68-1)/12)+1)&lt;=Exit!$B$6),Refinance!$B$14,0)</f>
        <v>0</v>
      </c>
      <c r="H8" s="88">
        <f>IF(AND(Assumptions!$B$67=1,(INT((Assumptions!$B$68-1)/12)+1)=COLUMN(F1),(INT((Assumptions!$B$68-1)/12)+1)&lt;=Exit!$B$6),Refinance!$B$14,0)</f>
        <v>0</v>
      </c>
      <c r="I8" s="88">
        <f>IF(AND(Assumptions!$B$67=1,(INT((Assumptions!$B$68-1)/12)+1)=COLUMN(G1),(INT((Assumptions!$B$68-1)/12)+1)&lt;=Exit!$B$6),Refinance!$B$14,0)</f>
        <v>0</v>
      </c>
      <c r="J8" s="88">
        <f>IF(AND(Assumptions!$B$67=1,(INT((Assumptions!$B$68-1)/12)+1)=COLUMN(H1),(INT((Assumptions!$B$68-1)/12)+1)&lt;=Exit!$B$6),Refinance!$B$14,0)</f>
        <v>0</v>
      </c>
      <c r="K8" s="88">
        <f>IF(AND(Assumptions!$B$67=1,(INT((Assumptions!$B$68-1)/12)+1)=COLUMN(I1),(INT((Assumptions!$B$68-1)/12)+1)&lt;=Exit!$B$6),Refinance!$B$14,0)</f>
        <v>0</v>
      </c>
      <c r="L8" s="88">
        <f>IF(AND(Assumptions!$B$67=1,(INT((Assumptions!$B$68-1)/12)+1)=COLUMN(J1),(INT((Assumptions!$B$68-1)/12)+1)&lt;=Exit!$B$6),Refinance!$B$14,0)</f>
        <v>0</v>
      </c>
    </row>
    <row r="9" spans="1:12" x14ac:dyDescent="0.25">
      <c r="A9" s="1" t="s">
        <v>16</v>
      </c>
      <c r="B9" s="87" t="s">
        <v>391</v>
      </c>
      <c r="C9" s="88">
        <f>IF(1=Exit!$B$6,Exit!$B$13,0)</f>
        <v>0</v>
      </c>
      <c r="D9" s="88">
        <f>IF(2=Exit!$B$6,Exit!$B$13,0)</f>
        <v>0</v>
      </c>
      <c r="E9" s="88">
        <f>IF(3=Exit!$B$6,Exit!$B$13,0)</f>
        <v>0</v>
      </c>
      <c r="F9" s="88">
        <f>IF(4=Exit!$B$6,Exit!$B$13,0)</f>
        <v>0</v>
      </c>
      <c r="G9" s="88">
        <f>IF(5=Exit!$B$6,Exit!$B$13,0)</f>
        <v>701987.73042483395</v>
      </c>
      <c r="H9" s="88">
        <f>IF(6=Exit!$B$6,Exit!$B$13,0)</f>
        <v>0</v>
      </c>
      <c r="I9" s="88">
        <f>IF(7=Exit!$B$6,Exit!$B$13,0)</f>
        <v>0</v>
      </c>
      <c r="J9" s="88">
        <f>IF(8=Exit!$B$6,Exit!$B$13,0)</f>
        <v>0</v>
      </c>
      <c r="K9" s="88">
        <f>IF(9=Exit!$B$6,Exit!$B$13,0)</f>
        <v>0</v>
      </c>
      <c r="L9" s="88">
        <f>IF(10=Exit!$B$6,Exit!$B$13,0)</f>
        <v>0</v>
      </c>
    </row>
    <row r="10" spans="1:12" x14ac:dyDescent="0.25">
      <c r="A10" s="1" t="s">
        <v>394</v>
      </c>
      <c r="B10" s="88">
        <f>-Acquisition!$B$23</f>
        <v>-600100</v>
      </c>
      <c r="C10" s="88" t="s">
        <v>391</v>
      </c>
      <c r="D10" s="87" t="s">
        <v>391</v>
      </c>
      <c r="E10" s="87" t="s">
        <v>391</v>
      </c>
      <c r="F10" s="87" t="s">
        <v>391</v>
      </c>
      <c r="G10" s="87" t="s">
        <v>391</v>
      </c>
      <c r="H10" s="87" t="s">
        <v>391</v>
      </c>
      <c r="I10" s="87" t="s">
        <v>391</v>
      </c>
      <c r="J10" s="87" t="s">
        <v>391</v>
      </c>
      <c r="K10" s="87" t="s">
        <v>391</v>
      </c>
      <c r="L10" s="87" t="s">
        <v>391</v>
      </c>
    </row>
    <row r="11" spans="1:12" x14ac:dyDescent="0.25">
      <c r="A11" s="54" t="s">
        <v>395</v>
      </c>
      <c r="B11" s="65">
        <f>B10</f>
        <v>-600100</v>
      </c>
      <c r="C11" s="65">
        <f>IF(1&gt;Exit!$B$6,0,C7+C8)+C9</f>
        <v>22074.913333333323</v>
      </c>
      <c r="D11" s="65">
        <f>IF(2&gt;Exit!$B$6,0,D7+D8)+D9</f>
        <v>60285.637633333397</v>
      </c>
      <c r="E11" s="65">
        <f>IF(3&gt;Exit!$B$6,0,E7+E8)+E9</f>
        <v>672056.0660397606</v>
      </c>
      <c r="F11" s="65">
        <f>IF(4&gt;Exit!$B$6,0,F7+F8)+F9</f>
        <v>23248.685451384037</v>
      </c>
      <c r="G11" s="65">
        <f>IF(5&gt;Exit!$B$6,0,G7+G8)+G9</f>
        <v>730404.84834105056</v>
      </c>
      <c r="H11" s="65">
        <f>IF(6&gt;Exit!$B$6,0,H7+H8)+H9</f>
        <v>0</v>
      </c>
      <c r="I11" s="65">
        <f>IF(7&gt;Exit!$B$6,0,I7+I8)+I9</f>
        <v>0</v>
      </c>
      <c r="J11" s="65">
        <f>IF(8&gt;Exit!$B$6,0,J7+J8)+J9</f>
        <v>0</v>
      </c>
      <c r="K11" s="65">
        <f>IF(9&gt;Exit!$B$6,0,K7+K8)+K9</f>
        <v>0</v>
      </c>
      <c r="L11" s="65">
        <f>IF(10&gt;Exit!$B$6,0,L7+L8)+L9</f>
        <v>0</v>
      </c>
    </row>
    <row r="12" spans="1:12" x14ac:dyDescent="0.25">
      <c r="A12" s="17" t="s">
        <v>396</v>
      </c>
      <c r="B12" s="89">
        <f>B11</f>
        <v>-600100</v>
      </c>
      <c r="C12" s="89">
        <f t="shared" ref="C12:L12" si="1">B12+C11</f>
        <v>-578025.08666666667</v>
      </c>
      <c r="D12" s="89">
        <f t="shared" si="1"/>
        <v>-517739.44903333328</v>
      </c>
      <c r="E12" s="89">
        <f t="shared" si="1"/>
        <v>154316.61700642732</v>
      </c>
      <c r="F12" s="89">
        <f t="shared" si="1"/>
        <v>177565.30245781137</v>
      </c>
      <c r="G12" s="89">
        <f t="shared" si="1"/>
        <v>907970.15079886187</v>
      </c>
      <c r="H12" s="89">
        <f t="shared" si="1"/>
        <v>907970.15079886187</v>
      </c>
      <c r="I12" s="89">
        <f t="shared" si="1"/>
        <v>907970.15079886187</v>
      </c>
      <c r="J12" s="89">
        <f t="shared" si="1"/>
        <v>907970.15079886187</v>
      </c>
      <c r="K12" s="89">
        <f t="shared" si="1"/>
        <v>907970.15079886187</v>
      </c>
      <c r="L12" s="89">
        <f t="shared" si="1"/>
        <v>907970.15079886187</v>
      </c>
    </row>
    <row r="14" spans="1:12" hidden="1" x14ac:dyDescent="0.25">
      <c r="A14" s="143" t="s">
        <v>397</v>
      </c>
      <c r="B14" s="143"/>
      <c r="C14" s="88"/>
      <c r="D14" s="88"/>
      <c r="E14" s="88"/>
      <c r="F14" s="88"/>
      <c r="G14" s="88"/>
      <c r="H14" s="88"/>
      <c r="I14" s="88"/>
    </row>
    <row r="15" spans="1:12" hidden="1" x14ac:dyDescent="0.25">
      <c r="A15" s="14" t="s">
        <v>398</v>
      </c>
      <c r="B15" s="90">
        <f>Acquisition!$B$23</f>
        <v>600100</v>
      </c>
    </row>
    <row r="16" spans="1:12" hidden="1" x14ac:dyDescent="0.25">
      <c r="A16" s="14" t="s">
        <v>18</v>
      </c>
      <c r="B16" s="81">
        <f>IFERROR(IRR(B11:L11),0)</f>
        <v>0.27741656061743103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spans="1:16" hidden="1" x14ac:dyDescent="0.25">
      <c r="A17" s="14" t="s">
        <v>399</v>
      </c>
      <c r="B17" s="91">
        <f>IFERROR(SUMIF(C11:L11,"&gt;0")/Acquisition!$B$23,0)</f>
        <v>2.5130314127626425</v>
      </c>
      <c r="E17" t="s">
        <v>533</v>
      </c>
    </row>
    <row r="18" spans="1:16" hidden="1" x14ac:dyDescent="0.25">
      <c r="A18" s="14" t="s">
        <v>21</v>
      </c>
      <c r="B18" s="90">
        <f>SUM(C11:L11)-Acquisition!$B$23</f>
        <v>907970.15079886187</v>
      </c>
      <c r="C18" s="88">
        <f>IF(AND(Assumptions!$B$67=1,(INT((Assumptions!$B$68-1)/12)+1)=COLUMN(A11),(INT((Assumptions!$B$68-1)/12)+1)&lt;=Exit!$B$6),Refinance!$B$14,0)</f>
        <v>0</v>
      </c>
      <c r="E18" t="s">
        <v>534</v>
      </c>
    </row>
    <row r="19" spans="1:16" hidden="1" x14ac:dyDescent="0.25">
      <c r="A19" s="14" t="s">
        <v>400</v>
      </c>
      <c r="B19" s="92">
        <f>IFERROR(AVERAGE(C7:L7)/Acquisition!$B$23,0)</f>
        <v>6.9377621383023655E-2</v>
      </c>
    </row>
    <row r="20" spans="1:16" hidden="1" x14ac:dyDescent="0.25">
      <c r="A20" s="14" t="s">
        <v>401</v>
      </c>
      <c r="B20" s="93">
        <f>Exit!$B$6</f>
        <v>5</v>
      </c>
    </row>
    <row r="22" spans="1:16" x14ac:dyDescent="0.25">
      <c r="A22" s="143" t="s">
        <v>402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</row>
    <row r="23" spans="1:16" x14ac:dyDescent="0.25">
      <c r="A23" s="138"/>
      <c r="B23" s="94"/>
      <c r="C23" s="94" t="s">
        <v>535</v>
      </c>
      <c r="D23" s="94" t="s">
        <v>535</v>
      </c>
      <c r="E23" s="94" t="s">
        <v>535</v>
      </c>
      <c r="F23" s="94" t="s">
        <v>535</v>
      </c>
      <c r="G23" s="94" t="s">
        <v>535</v>
      </c>
      <c r="H23" s="94" t="s">
        <v>535</v>
      </c>
      <c r="I23" s="94" t="s">
        <v>535</v>
      </c>
      <c r="J23" s="94" t="s">
        <v>535</v>
      </c>
      <c r="K23" s="94" t="s">
        <v>535</v>
      </c>
      <c r="L23" s="94" t="s">
        <v>535</v>
      </c>
    </row>
    <row r="24" spans="1:16" x14ac:dyDescent="0.25">
      <c r="A24" s="9" t="s">
        <v>403</v>
      </c>
      <c r="B24" s="94" t="s">
        <v>404</v>
      </c>
      <c r="C24" s="94">
        <v>1</v>
      </c>
      <c r="D24" s="94">
        <v>2</v>
      </c>
      <c r="E24" s="94">
        <v>3</v>
      </c>
      <c r="F24" s="94">
        <v>4</v>
      </c>
      <c r="G24" s="94">
        <v>5</v>
      </c>
      <c r="H24" s="94">
        <v>6</v>
      </c>
      <c r="I24" s="94">
        <v>7</v>
      </c>
      <c r="J24" s="94">
        <v>8</v>
      </c>
      <c r="K24" s="94">
        <v>9</v>
      </c>
      <c r="L24" s="94">
        <v>10</v>
      </c>
      <c r="N24" s="94" t="s">
        <v>384</v>
      </c>
      <c r="O24" s="94" t="s">
        <v>405</v>
      </c>
      <c r="P24" s="94" t="s">
        <v>386</v>
      </c>
    </row>
    <row r="25" spans="1:16" x14ac:dyDescent="0.25">
      <c r="A25" s="139">
        <v>1</v>
      </c>
      <c r="B25" s="95">
        <f>-Acquisition!$B$23</f>
        <v>-600100</v>
      </c>
      <c r="C25" s="95">
        <f>IF(C$24&lt;=$A25,C$7+IF(AND(Assumptions!$B$67=1,C$24=(INT((Assumptions!$B$68-1)/12)+1),(INT((Assumptions!$B$68-1)/12)+1)&lt;=$A25),Refinance!$B$14,0)+IF(C$24=$A25,Exit!$G18,0),0)</f>
        <v>936601.25376410293</v>
      </c>
      <c r="D25" s="95">
        <f>IF(D$24&lt;=$A25,D$7+IF(AND(Assumptions!$B$67=1,D$24=(INT((Assumptions!$B$68-1)/12)+1),(INT((Assumptions!$B$68-1)/12)+1)&lt;=$A25),Refinance!$B$14,0)+IF(D$24=$A25,Exit!H18,0),0)</f>
        <v>0</v>
      </c>
      <c r="E25" s="95">
        <f>IF(E$24&lt;=$A25,E$7+IF(AND(Assumptions!$B$67=1,E$24=(INT((Assumptions!$B$68-1)/12)+1),(INT((Assumptions!$B$68-1)/12)+1)&lt;=$A25),Refinance!$B$14,0)+IF(E$24=$A25,Exit!I18,0),0)</f>
        <v>0</v>
      </c>
      <c r="F25" s="95">
        <f>IF(F$24&lt;=$A25,F$7+IF(AND(Assumptions!$B$67=1,F$24=(INT((Assumptions!$B$68-1)/12)+1),(INT((Assumptions!$B$68-1)/12)+1)&lt;=$A25),Refinance!$B$14,0)+IF(F$24=$A25,Exit!J18,0),0)</f>
        <v>0</v>
      </c>
      <c r="G25" s="95">
        <f>IF(G$24&lt;=$A25,G$7+IF(AND(Assumptions!$B$67=1,G$24=(INT((Assumptions!$B$68-1)/12)+1),(INT((Assumptions!$B$68-1)/12)+1)&lt;=$A25),Refinance!$B$14,0)+IF(G$24=$A25,Exit!$G18,0),0)</f>
        <v>0</v>
      </c>
      <c r="H25" s="95">
        <f>IF(H$24&lt;=$A25,H$7+IF(AND(Assumptions!$B$67=1,H$24=(INT((Assumptions!$B$68-1)/12)+1),(INT((Assumptions!$B$68-1)/12)+1)&lt;=$A25),Refinance!$B$14,0)+IF(H$24=$A25,Exit!$G18,0),0)</f>
        <v>0</v>
      </c>
      <c r="I25" s="95">
        <f>IF(I$24&lt;=$A25,I$7+IF(AND(Assumptions!$B$67=1,I$24=(INT((Assumptions!$B$68-1)/12)+1),(INT((Assumptions!$B$68-1)/12)+1)&lt;=$A25),Refinance!$B$14,0)+IF(I$24=$A25,Exit!$G18,0),0)</f>
        <v>0</v>
      </c>
      <c r="J25" s="95">
        <f>IF(J$24&lt;=$A25,J$7+IF(AND(Assumptions!$B$67=1,J$24=(INT((Assumptions!$B$68-1)/12)+1),(INT((Assumptions!$B$68-1)/12)+1)&lt;=$A25),Refinance!$B$14,0)+IF(J$24=$A25,Exit!$G18,0),0)</f>
        <v>0</v>
      </c>
      <c r="K25" s="95">
        <f>IF(K$24&lt;=$A25,K$7+IF(AND(Assumptions!$B$67=1,K$24=(INT((Assumptions!$B$68-1)/12)+1),(INT((Assumptions!$B$68-1)/12)+1)&lt;=$A25),Refinance!$B$14,0)+IF(K$24=$A25,Exit!$G18,0),0)</f>
        <v>0</v>
      </c>
      <c r="L25" s="95">
        <f>IF(L$24&lt;=$A25,L$7+IF(AND(Assumptions!$B$67=1,L$24=(INT((Assumptions!$B$68-1)/12)+1),(INT((Assumptions!$B$68-1)/12)+1)&lt;=$A25),Refinance!$B$14,0)+IF(L$24=$A25,Exit!$G18,0),0)</f>
        <v>0</v>
      </c>
      <c r="N25" s="97">
        <f t="shared" ref="N25:N34" si="2">IFERROR(IRR(B25:L25),0)</f>
        <v>0.56074196594584702</v>
      </c>
      <c r="O25" s="98">
        <f>IFERROR(SUMIF(C25:L25,"&gt;0")/Acquisition!$B$23,0)</f>
        <v>1.5607419659458472</v>
      </c>
      <c r="P25" s="95">
        <f>SUM(C25:L25)-Acquisition!$B$23</f>
        <v>336501.25376410293</v>
      </c>
    </row>
    <row r="26" spans="1:16" x14ac:dyDescent="0.25">
      <c r="A26" s="139">
        <v>2</v>
      </c>
      <c r="B26" s="95">
        <f>-Acquisition!$B$23</f>
        <v>-600100</v>
      </c>
      <c r="C26" s="95">
        <f>IF(C$24&lt;=$A26,C$7+IF(AND(Assumptions!$B$67=1,C$24=(INT((Assumptions!$B$68-1)/12)+1),(INT((Assumptions!$B$68-1)/12)+1)&lt;=$A26),Refinance!$B$14,0)+IF(C$24=$A26,Exit!$G19,0),0)</f>
        <v>22074.913333333323</v>
      </c>
      <c r="D26" s="95">
        <f>IF(D$24&lt;=$A26,D$7+IF(AND(Assumptions!$B$67=1,D$24=(INT((Assumptions!$B$68-1)/12)+1),(INT((Assumptions!$B$68-1)/12)+1)&lt;=$A26),Refinance!$B$14,0)+IF(D$24=$A26,Exit!$G19,0),0)</f>
        <v>1109953.5799939493</v>
      </c>
      <c r="E26" s="95">
        <f>IF(E$24&lt;=$A26,E$7+IF(AND(Assumptions!$B$67=1,E$24=(INT((Assumptions!$B$68-1)/12)+1),(INT((Assumptions!$B$68-1)/12)+1)&lt;=$A26),Refinance!$B$14,0)+IF(E$24=$A26,Exit!$G19,0),0)</f>
        <v>0</v>
      </c>
      <c r="F26" s="95">
        <f>IF(F$24&lt;=$A26,F$7+IF(AND(Assumptions!$B$67=1,F$24=(INT((Assumptions!$B$68-1)/12)+1),(INT((Assumptions!$B$68-1)/12)+1)&lt;=$A26),Refinance!$B$14,0)+IF(F$24=$A26,Exit!$G19,0),0)</f>
        <v>0</v>
      </c>
      <c r="G26" s="95">
        <f>IF(G$24&lt;=$A26,G$7+IF(AND(Assumptions!$B$67=1,G$24=(INT((Assumptions!$B$68-1)/12)+1),(INT((Assumptions!$B$68-1)/12)+1)&lt;=$A26),Refinance!$B$14,0)+IF(G$24=$A26,Exit!$G19,0),0)</f>
        <v>0</v>
      </c>
      <c r="H26" s="95">
        <f>IF(H$24&lt;=$A26,H$7+IF(AND(Assumptions!$B$67=1,H$24=(INT((Assumptions!$B$68-1)/12)+1),(INT((Assumptions!$B$68-1)/12)+1)&lt;=$A26),Refinance!$B$14,0)+IF(H$24=$A26,Exit!$G19,0),0)</f>
        <v>0</v>
      </c>
      <c r="I26" s="95">
        <f>IF(I$24&lt;=$A26,I$7+IF(AND(Assumptions!$B$67=1,I$24=(INT((Assumptions!$B$68-1)/12)+1),(INT((Assumptions!$B$68-1)/12)+1)&lt;=$A26),Refinance!$B$14,0)+IF(I$24=$A26,Exit!$G19,0),0)</f>
        <v>0</v>
      </c>
      <c r="J26" s="95">
        <f>IF(J$24&lt;=$A26,J$7+IF(AND(Assumptions!$B$67=1,J$24=(INT((Assumptions!$B$68-1)/12)+1),(INT((Assumptions!$B$68-1)/12)+1)&lt;=$A26),Refinance!$B$14,0)+IF(J$24=$A26,Exit!$G19,0),0)</f>
        <v>0</v>
      </c>
      <c r="K26" s="95">
        <f>IF(K$24&lt;=$A26,K$7+IF(AND(Assumptions!$B$67=1,K$24=(INT((Assumptions!$B$68-1)/12)+1),(INT((Assumptions!$B$68-1)/12)+1)&lt;=$A26),Refinance!$B$14,0)+IF(K$24=$A26,Exit!$G19,0),0)</f>
        <v>0</v>
      </c>
      <c r="L26" s="95">
        <f>IF(L$24&lt;=$A26,L$7+IF(AND(Assumptions!$B$67=1,L$24=(INT((Assumptions!$B$68-1)/12)+1),(INT((Assumptions!$B$68-1)/12)+1)&lt;=$A26),Refinance!$B$14,0)+IF(L$24=$A26,Exit!$G19,0),0)</f>
        <v>0</v>
      </c>
      <c r="N26" s="97">
        <f t="shared" si="2"/>
        <v>0.37852234224566184</v>
      </c>
      <c r="O26" s="98">
        <f>IFERROR(SUMIF(C26:L26,"&gt;0")/Acquisition!$B$23,0)</f>
        <v>1.8863997555862067</v>
      </c>
      <c r="P26" s="95">
        <f>SUM(C26:L26)-Acquisition!$B$23</f>
        <v>531928.4933272826</v>
      </c>
    </row>
    <row r="27" spans="1:16" x14ac:dyDescent="0.25">
      <c r="A27" s="139">
        <v>3</v>
      </c>
      <c r="B27" s="95">
        <f>-Acquisition!$B$23</f>
        <v>-600100</v>
      </c>
      <c r="C27" s="95">
        <f>IF(C$24&lt;=$A27,C$7+IF(AND(Assumptions!$B$67=1,C$24=(INT((Assumptions!$B$68-1)/12)+1),(INT((Assumptions!$B$68-1)/12)+1)&lt;=$A27),Refinance!$B$14,0)+IF(C$24=$A27,Exit!$G20,0),0)</f>
        <v>22074.913333333323</v>
      </c>
      <c r="D27" s="95">
        <f>IF(D$24&lt;=$A27,D$7+IF(AND(Assumptions!$B$67=1,D$24=(INT((Assumptions!$B$68-1)/12)+1),(INT((Assumptions!$B$68-1)/12)+1)&lt;=$A27),Refinance!$B$14,0)+IF(D$24=$A27,Exit!$G20,0),0)</f>
        <v>60285.637633333397</v>
      </c>
      <c r="E27" s="95">
        <f>IF(E$24&lt;=$A27,E$7+IF(AND(Assumptions!$B$67=1,E$24=(INT((Assumptions!$B$68-1)/12)+1),(INT((Assumptions!$B$68-1)/12)+1)&lt;=$A27),Refinance!$B$14,0)+IF(E$24=$A27,Exit!$G20,0),0)</f>
        <v>1176453.7950579359</v>
      </c>
      <c r="F27" s="95">
        <f>IF(F$24&lt;=$A27,F$7+IF(AND(Assumptions!$B$67=1,F$24=(INT((Assumptions!$B$68-1)/12)+1),(INT((Assumptions!$B$68-1)/12)+1)&lt;=$A27),Refinance!$B$14,0)+IF(F$24=$A27,Exit!$G20,0),0)</f>
        <v>0</v>
      </c>
      <c r="G27" s="95">
        <f>IF(G$24&lt;=$A27,G$7+IF(AND(Assumptions!$B$67=1,G$24=(INT((Assumptions!$B$68-1)/12)+1),(INT((Assumptions!$B$68-1)/12)+1)&lt;=$A27),Refinance!$B$14,0)+IF(G$24=$A27,Exit!$G20,0),0)</f>
        <v>0</v>
      </c>
      <c r="H27" s="95">
        <f>IF(H$24&lt;=$A27,H$7+IF(AND(Assumptions!$B$67=1,H$24=(INT((Assumptions!$B$68-1)/12)+1),(INT((Assumptions!$B$68-1)/12)+1)&lt;=$A27),Refinance!$B$14,0)+IF(H$24=$A27,Exit!$G20,0),0)</f>
        <v>0</v>
      </c>
      <c r="I27" s="95">
        <f>IF(I$24&lt;=$A27,I$7+IF(AND(Assumptions!$B$67=1,I$24=(INT((Assumptions!$B$68-1)/12)+1),(INT((Assumptions!$B$68-1)/12)+1)&lt;=$A27),Refinance!$B$14,0)+IF(I$24=$A27,Exit!$G20,0),0)</f>
        <v>0</v>
      </c>
      <c r="J27" s="95">
        <f>IF(J$24&lt;=$A27,J$7+IF(AND(Assumptions!$B$67=1,J$24=(INT((Assumptions!$B$68-1)/12)+1),(INT((Assumptions!$B$68-1)/12)+1)&lt;=$A27),Refinance!$B$14,0)+IF(J$24=$A27,Exit!$G20,0),0)</f>
        <v>0</v>
      </c>
      <c r="K27" s="95">
        <f>IF(K$24&lt;=$A27,K$7+IF(AND(Assumptions!$B$67=1,K$24=(INT((Assumptions!$B$68-1)/12)+1),(INT((Assumptions!$B$68-1)/12)+1)&lt;=$A27),Refinance!$B$14,0)+IF(K$24=$A27,Exit!$G20,0),0)</f>
        <v>0</v>
      </c>
      <c r="L27" s="95">
        <f>IF(L$24&lt;=$A27,L$7+IF(AND(Assumptions!$B$67=1,L$24=(INT((Assumptions!$B$68-1)/12)+1),(INT((Assumptions!$B$68-1)/12)+1)&lt;=$A27),Refinance!$B$14,0)+IF(L$24=$A27,Exit!$G20,0),0)</f>
        <v>0</v>
      </c>
      <c r="N27" s="97">
        <f t="shared" si="2"/>
        <v>0.29094732124649836</v>
      </c>
      <c r="O27" s="98">
        <f>IFERROR(SUMIF(C27:L27,"&gt;0")/Acquisition!$B$23,0)</f>
        <v>2.0976742976580613</v>
      </c>
      <c r="P27" s="95">
        <f>SUM(C27:L27)-Acquisition!$B$23</f>
        <v>658714.34602460265</v>
      </c>
    </row>
    <row r="28" spans="1:16" x14ac:dyDescent="0.25">
      <c r="A28" s="139">
        <v>4</v>
      </c>
      <c r="B28" s="95">
        <f>-Acquisition!$B$23</f>
        <v>-600100</v>
      </c>
      <c r="C28" s="95">
        <f>IF(C$24&lt;=$A28,C$7+IF(AND(Assumptions!$B$67=1,C$24=(INT((Assumptions!$B$68-1)/12)+1),(INT((Assumptions!$B$68-1)/12)+1)&lt;=$A28),Refinance!$B$14,0)+IF(C$24=$A28,Exit!$G21,0),0)</f>
        <v>22074.913333333323</v>
      </c>
      <c r="D28" s="95">
        <f>IF(D$24&lt;=$A28,D$7+IF(AND(Assumptions!$B$67=1,D$24=(INT((Assumptions!$B$68-1)/12)+1),(INT((Assumptions!$B$68-1)/12)+1)&lt;=$A28),Refinance!$B$14,0)+IF(D$24=$A28,Exit!$G21,0),0)</f>
        <v>60285.637633333397</v>
      </c>
      <c r="E28" s="95">
        <f>IF(E$24&lt;=$A28,E$7+IF(AND(Assumptions!$B$67=1,E$24=(INT((Assumptions!$B$68-1)/12)+1),(INT((Assumptions!$B$68-1)/12)+1)&lt;=$A28),Refinance!$B$14,0)+IF(E$24=$A28,Exit!$G21,0),0)</f>
        <v>672056.0660397606</v>
      </c>
      <c r="F28" s="95">
        <f>IF(F$24&lt;=$A28,F$7+IF(AND(Assumptions!$B$67=1,F$24=(INT((Assumptions!$B$68-1)/12)+1),(INT((Assumptions!$B$68-1)/12)+1)&lt;=$A28),Refinance!$B$14,0)+IF(F$24=$A28,Exit!$G21,0),0)</f>
        <v>624478.49753121322</v>
      </c>
      <c r="G28" s="95">
        <f>IF(G$24&lt;=$A28,G$7+IF(AND(Assumptions!$B$67=1,G$24=(INT((Assumptions!$B$68-1)/12)+1),(INT((Assumptions!$B$68-1)/12)+1)&lt;=$A28),Refinance!$B$14,0)+IF(G$24=$A28,Exit!$G21,0),0)</f>
        <v>0</v>
      </c>
      <c r="H28" s="95">
        <f>IF(H$24&lt;=$A28,H$7+IF(AND(Assumptions!$B$67=1,H$24=(INT((Assumptions!$B$68-1)/12)+1),(INT((Assumptions!$B$68-1)/12)+1)&lt;=$A28),Refinance!$B$14,0)+IF(H$24=$A28,Exit!$G21,0),0)</f>
        <v>0</v>
      </c>
      <c r="I28" s="95">
        <f>IF(I$24&lt;=$A28,I$7+IF(AND(Assumptions!$B$67=1,I$24=(INT((Assumptions!$B$68-1)/12)+1),(INT((Assumptions!$B$68-1)/12)+1)&lt;=$A28),Refinance!$B$14,0)+IF(I$24=$A28,Exit!$G21,0),0)</f>
        <v>0</v>
      </c>
      <c r="J28" s="95">
        <f>IF(J$24&lt;=$A28,J$7+IF(AND(Assumptions!$B$67=1,J$24=(INT((Assumptions!$B$68-1)/12)+1),(INT((Assumptions!$B$68-1)/12)+1)&lt;=$A28),Refinance!$B$14,0)+IF(J$24=$A28,Exit!$G21,0),0)</f>
        <v>0</v>
      </c>
      <c r="K28" s="95">
        <f>IF(K$24&lt;=$A28,K$7+IF(AND(Assumptions!$B$67=1,K$24=(INT((Assumptions!$B$68-1)/12)+1),(INT((Assumptions!$B$68-1)/12)+1)&lt;=$A28),Refinance!$B$14,0)+IF(K$24=$A28,Exit!$G21,0),0)</f>
        <v>0</v>
      </c>
      <c r="L28" s="95">
        <f>IF(L$24&lt;=$A28,L$7+IF(AND(Assumptions!$B$67=1,L$24=(INT((Assumptions!$B$68-1)/12)+1),(INT((Assumptions!$B$68-1)/12)+1)&lt;=$A28),Refinance!$B$14,0)+IF(L$24=$A28,Exit!$G21,0),0)</f>
        <v>0</v>
      </c>
      <c r="N28" s="97">
        <f t="shared" si="2"/>
        <v>0.28458014255543396</v>
      </c>
      <c r="O28" s="98">
        <f>IFERROR(SUMIF(C28:L28,"&gt;0")/Acquisition!$B$23,0)</f>
        <v>2.2977755616357949</v>
      </c>
      <c r="P28" s="95">
        <f>SUM(C28:L28)-Acquisition!$B$23</f>
        <v>778795.11453764047</v>
      </c>
    </row>
    <row r="29" spans="1:16" x14ac:dyDescent="0.25">
      <c r="A29" s="139">
        <v>5</v>
      </c>
      <c r="B29" s="95">
        <f>-Acquisition!$B$23</f>
        <v>-600100</v>
      </c>
      <c r="C29" s="95">
        <f>IF(C$24&lt;=$A29,C$7+IF(AND(Assumptions!$B$67=1,C$24=(INT((Assumptions!$B$68-1)/12)+1),(INT((Assumptions!$B$68-1)/12)+1)&lt;=$A29),Refinance!$B$14,0)+IF(C$24=$A29,Exit!$G22,0),0)</f>
        <v>22074.913333333323</v>
      </c>
      <c r="D29" s="95">
        <f>IF(D$24&lt;=$A29,D$7+IF(AND(Assumptions!$B$67=1,D$24=(INT((Assumptions!$B$68-1)/12)+1),(INT((Assumptions!$B$68-1)/12)+1)&lt;=$A29),Refinance!$B$14,0)+IF(D$24=$A29,Exit!$G22,0),0)</f>
        <v>60285.637633333397</v>
      </c>
      <c r="E29" s="95">
        <f>IF(E$24&lt;=$A29,E$7+IF(AND(Assumptions!$B$67=1,E$24=(INT((Assumptions!$B$68-1)/12)+1),(INT((Assumptions!$B$68-1)/12)+1)&lt;=$A29),Refinance!$B$14,0)+IF(E$24=$A29,Exit!$G22,0),0)</f>
        <v>672056.0660397606</v>
      </c>
      <c r="F29" s="95">
        <f>IF(F$24&lt;=$A29,F$7+IF(AND(Assumptions!$B$67=1,F$24=(INT((Assumptions!$B$68-1)/12)+1),(INT((Assumptions!$B$68-1)/12)+1)&lt;=$A29),Refinance!$B$14,0)+IF(F$24=$A29,Exit!$G22,0),0)</f>
        <v>23248.685451384037</v>
      </c>
      <c r="G29" s="95">
        <f>IF(G$24&lt;=$A29,G$7+IF(AND(Assumptions!$B$67=1,G$24=(INT((Assumptions!$B$68-1)/12)+1),(INT((Assumptions!$B$68-1)/12)+1)&lt;=$A29),Refinance!$B$14,0)+IF(G$24=$A29,Exit!$G22,0),0)</f>
        <v>730404.84834105056</v>
      </c>
      <c r="H29" s="95">
        <f>IF(H$24&lt;=$A29,H$7+IF(AND(Assumptions!$B$67=1,H$24=(INT((Assumptions!$B$68-1)/12)+1),(INT((Assumptions!$B$68-1)/12)+1)&lt;=$A29),Refinance!$B$14,0)+IF(H$24=$A29,Exit!$G22,0),0)</f>
        <v>0</v>
      </c>
      <c r="I29" s="95">
        <f>IF(I$24&lt;=$A29,I$7+IF(AND(Assumptions!$B$67=1,I$24=(INT((Assumptions!$B$68-1)/12)+1),(INT((Assumptions!$B$68-1)/12)+1)&lt;=$A29),Refinance!$B$14,0)+IF(I$24=$A29,Exit!$G22,0),0)</f>
        <v>0</v>
      </c>
      <c r="J29" s="95">
        <f>IF(J$24&lt;=$A29,J$7+IF(AND(Assumptions!$B$67=1,J$24=(INT((Assumptions!$B$68-1)/12)+1),(INT((Assumptions!$B$68-1)/12)+1)&lt;=$A29),Refinance!$B$14,0)+IF(J$24=$A29,Exit!$G22,0),0)</f>
        <v>0</v>
      </c>
      <c r="K29" s="95">
        <f>IF(K$24&lt;=$A29,K$7+IF(AND(Assumptions!$B$67=1,K$24=(INT((Assumptions!$B$68-1)/12)+1),(INT((Assumptions!$B$68-1)/12)+1)&lt;=$A29),Refinance!$B$14,0)+IF(K$24=$A29,Exit!$G22,0),0)</f>
        <v>0</v>
      </c>
      <c r="L29" s="95">
        <f>IF(L$24&lt;=$A29,L$7+IF(AND(Assumptions!$B$67=1,L$24=(INT((Assumptions!$B$68-1)/12)+1),(INT((Assumptions!$B$68-1)/12)+1)&lt;=$A29),Refinance!$B$14,0)+IF(L$24=$A29,Exit!$G22,0),0)</f>
        <v>0</v>
      </c>
      <c r="N29" s="97">
        <f t="shared" si="2"/>
        <v>0.27741656061743103</v>
      </c>
      <c r="O29" s="98">
        <f>IFERROR(SUMIF(C29:L29,"&gt;0")/Acquisition!$B$23,0)</f>
        <v>2.5130314127626425</v>
      </c>
      <c r="P29" s="95">
        <f>SUM(C29:L29)-Acquisition!$B$23</f>
        <v>907970.15079886187</v>
      </c>
    </row>
    <row r="30" spans="1:16" x14ac:dyDescent="0.25">
      <c r="A30" s="139">
        <v>6</v>
      </c>
      <c r="B30" s="95">
        <f>-Acquisition!$B$23</f>
        <v>-600100</v>
      </c>
      <c r="C30" s="95">
        <f>IF(C$24&lt;=$A30,C$7+IF(AND(Assumptions!$B$67=1,C$24=(INT((Assumptions!$B$68-1)/12)+1),(INT((Assumptions!$B$68-1)/12)+1)&lt;=$A30),Refinance!$B$14,0)+IF(C$24=$A30,Exit!$G23,0),0)</f>
        <v>22074.913333333323</v>
      </c>
      <c r="D30" s="95">
        <f>IF(D$24&lt;=$A30,D$7+IF(AND(Assumptions!$B$67=1,D$24=(INT((Assumptions!$B$68-1)/12)+1),(INT((Assumptions!$B$68-1)/12)+1)&lt;=$A30),Refinance!$B$14,0)+IF(D$24=$A30,Exit!$G23,0),0)</f>
        <v>60285.637633333397</v>
      </c>
      <c r="E30" s="95">
        <f>IF(E$24&lt;=$A30,E$7+IF(AND(Assumptions!$B$67=1,E$24=(INT((Assumptions!$B$68-1)/12)+1),(INT((Assumptions!$B$68-1)/12)+1)&lt;=$A30),Refinance!$B$14,0)+IF(E$24=$A30,Exit!$G23,0),0)</f>
        <v>672056.0660397606</v>
      </c>
      <c r="F30" s="95">
        <f>IF(F$24&lt;=$A30,F$7+IF(AND(Assumptions!$B$67=1,F$24=(INT((Assumptions!$B$68-1)/12)+1),(INT((Assumptions!$B$68-1)/12)+1)&lt;=$A30),Refinance!$B$14,0)+IF(F$24=$A30,Exit!$G23,0),0)</f>
        <v>23248.685451384037</v>
      </c>
      <c r="G30" s="95">
        <f>IF(G$24&lt;=$A30,G$7+IF(AND(Assumptions!$B$67=1,G$24=(INT((Assumptions!$B$68-1)/12)+1),(INT((Assumptions!$B$68-1)/12)+1)&lt;=$A30),Refinance!$B$14,0)+IF(G$24=$A30,Exit!$G23,0),0)</f>
        <v>28417.117916216623</v>
      </c>
      <c r="H30" s="95">
        <f>IF(H$24&lt;=$A30,H$7+IF(AND(Assumptions!$B$67=1,H$24=(INT((Assumptions!$B$68-1)/12)+1),(INT((Assumptions!$B$68-1)/12)+1)&lt;=$A30),Refinance!$B$14,0)+IF(H$24=$A30,Exit!$G23,0),0)</f>
        <v>840606.45833009947</v>
      </c>
      <c r="I30" s="95">
        <f>IF(I$24&lt;=$A30,I$7+IF(AND(Assumptions!$B$67=1,I$24=(INT((Assumptions!$B$68-1)/12)+1),(INT((Assumptions!$B$68-1)/12)+1)&lt;=$A30),Refinance!$B$14,0)+IF(I$24=$A30,Exit!$G23,0),0)</f>
        <v>0</v>
      </c>
      <c r="J30" s="95">
        <f>IF(J$24&lt;=$A30,J$7+IF(AND(Assumptions!$B$67=1,J$24=(INT((Assumptions!$B$68-1)/12)+1),(INT((Assumptions!$B$68-1)/12)+1)&lt;=$A30),Refinance!$B$14,0)+IF(J$24=$A30,Exit!$G23,0),0)</f>
        <v>0</v>
      </c>
      <c r="K30" s="95">
        <f>IF(K$24&lt;=$A30,K$7+IF(AND(Assumptions!$B$67=1,K$24=(INT((Assumptions!$B$68-1)/12)+1),(INT((Assumptions!$B$68-1)/12)+1)&lt;=$A30),Refinance!$B$14,0)+IF(K$24=$A30,Exit!$G23,0),0)</f>
        <v>0</v>
      </c>
      <c r="L30" s="95">
        <f>IF(L$24&lt;=$A30,L$7+IF(AND(Assumptions!$B$67=1,L$24=(INT((Assumptions!$B$68-1)/12)+1),(INT((Assumptions!$B$68-1)/12)+1)&lt;=$A30),Refinance!$B$14,0)+IF(L$24=$A30,Exit!$G23,0),0)</f>
        <v>0</v>
      </c>
      <c r="N30" s="97">
        <f t="shared" si="2"/>
        <v>0.27033932522049309</v>
      </c>
      <c r="O30" s="98">
        <f>IFERROR(SUMIF(C30:L30,"&gt;0")/Acquisition!$B$23,0)</f>
        <v>2.7440241271523536</v>
      </c>
      <c r="P30" s="95">
        <f>SUM(C30:L30)-Acquisition!$B$23</f>
        <v>1046588.8787041274</v>
      </c>
    </row>
    <row r="31" spans="1:16" x14ac:dyDescent="0.25">
      <c r="A31" s="139">
        <v>7</v>
      </c>
      <c r="B31" s="95">
        <f>-Acquisition!$B$23</f>
        <v>-600100</v>
      </c>
      <c r="C31" s="95">
        <f>IF(C$24&lt;=$A31,C$7+IF(AND(Assumptions!$B$67=1,C$24=(INT((Assumptions!$B$68-1)/12)+1),(INT((Assumptions!$B$68-1)/12)+1)&lt;=$A31),Refinance!$B$14,0)+IF(C$24=$A31,Exit!$G24,0),0)</f>
        <v>22074.913333333323</v>
      </c>
      <c r="D31" s="95">
        <f>IF(D$24&lt;=$A31,D$7+IF(AND(Assumptions!$B$67=1,D$24=(INT((Assumptions!$B$68-1)/12)+1),(INT((Assumptions!$B$68-1)/12)+1)&lt;=$A31),Refinance!$B$14,0)+IF(D$24=$A31,Exit!$G24,0),0)</f>
        <v>60285.637633333397</v>
      </c>
      <c r="E31" s="95">
        <f>IF(E$24&lt;=$A31,E$7+IF(AND(Assumptions!$B$67=1,E$24=(INT((Assumptions!$B$68-1)/12)+1),(INT((Assumptions!$B$68-1)/12)+1)&lt;=$A31),Refinance!$B$14,0)+IF(E$24=$A31,Exit!$G24,0),0)</f>
        <v>672056.0660397606</v>
      </c>
      <c r="F31" s="95">
        <f>IF(F$24&lt;=$A31,F$7+IF(AND(Assumptions!$B$67=1,F$24=(INT((Assumptions!$B$68-1)/12)+1),(INT((Assumptions!$B$68-1)/12)+1)&lt;=$A31),Refinance!$B$14,0)+IF(F$24=$A31,Exit!$G24,0),0)</f>
        <v>23248.685451384037</v>
      </c>
      <c r="G31" s="95">
        <f>IF(G$24&lt;=$A31,G$7+IF(AND(Assumptions!$B$67=1,G$24=(INT((Assumptions!$B$68-1)/12)+1),(INT((Assumptions!$B$68-1)/12)+1)&lt;=$A31),Refinance!$B$14,0)+IF(G$24=$A31,Exit!$G24,0),0)</f>
        <v>28417.117916216623</v>
      </c>
      <c r="H31" s="95">
        <f>IF(H$24&lt;=$A31,H$7+IF(AND(Assumptions!$B$67=1,H$24=(INT((Assumptions!$B$68-1)/12)+1),(INT((Assumptions!$B$68-1)/12)+1)&lt;=$A31),Refinance!$B$14,0)+IF(H$24=$A31,Exit!$G24,0),0)</f>
        <v>33769.708908672459</v>
      </c>
      <c r="I31" s="95">
        <f>IF(I$24&lt;=$A31,I$7+IF(AND(Assumptions!$B$67=1,I$24=(INT((Assumptions!$B$68-1)/12)+1),(INT((Assumptions!$B$68-1)/12)+1)&lt;=$A31),Refinance!$B$14,0)+IF(I$24=$A31,Exit!$G24,0),0)</f>
        <v>955262.34544845147</v>
      </c>
      <c r="J31" s="95">
        <f>IF(J$24&lt;=$A31,J$7+IF(AND(Assumptions!$B$67=1,J$24=(INT((Assumptions!$B$68-1)/12)+1),(INT((Assumptions!$B$68-1)/12)+1)&lt;=$A31),Refinance!$B$14,0)+IF(J$24=$A31,Exit!$G24,0),0)</f>
        <v>0</v>
      </c>
      <c r="K31" s="95">
        <f>IF(K$24&lt;=$A31,K$7+IF(AND(Assumptions!$B$67=1,K$24=(INT((Assumptions!$B$68-1)/12)+1),(INT((Assumptions!$B$68-1)/12)+1)&lt;=$A31),Refinance!$B$14,0)+IF(K$24=$A31,Exit!$G24,0),0)</f>
        <v>0</v>
      </c>
      <c r="L31" s="95">
        <f>IF(L$24&lt;=$A31,L$7+IF(AND(Assumptions!$B$67=1,L$24=(INT((Assumptions!$B$68-1)/12)+1),(INT((Assumptions!$B$68-1)/12)+1)&lt;=$A31),Refinance!$B$14,0)+IF(L$24=$A31,Exit!$G24,0),0)</f>
        <v>0</v>
      </c>
      <c r="N31" s="97">
        <f t="shared" si="2"/>
        <v>0.26369183679454222</v>
      </c>
      <c r="O31" s="98">
        <f>IFERROR(SUMIF(C31:L31,"&gt;0")/Acquisition!$B$23,0)</f>
        <v>2.9913588980689085</v>
      </c>
      <c r="P31" s="95">
        <f>SUM(C31:L31)-Acquisition!$B$23</f>
        <v>1195014.4747311519</v>
      </c>
    </row>
    <row r="32" spans="1:16" x14ac:dyDescent="0.25">
      <c r="A32" s="139">
        <v>8</v>
      </c>
      <c r="B32" s="95">
        <f>-Acquisition!$B$23</f>
        <v>-600100</v>
      </c>
      <c r="C32" s="95">
        <f>IF(C$24&lt;=$A32,C$7+IF(AND(Assumptions!$B$67=1,C$24=(INT((Assumptions!$B$68-1)/12)+1),(INT((Assumptions!$B$68-1)/12)+1)&lt;=$A32),Refinance!$B$14,0)+IF(C$24=$A32,Exit!$G25,0),0)</f>
        <v>22074.913333333323</v>
      </c>
      <c r="D32" s="95">
        <f>IF(D$24&lt;=$A32,D$7+IF(AND(Assumptions!$B$67=1,D$24=(INT((Assumptions!$B$68-1)/12)+1),(INT((Assumptions!$B$68-1)/12)+1)&lt;=$A32),Refinance!$B$14,0)+IF(D$24=$A32,Exit!$G25,0),0)</f>
        <v>60285.637633333397</v>
      </c>
      <c r="E32" s="95">
        <f>IF(E$24&lt;=$A32,E$7+IF(AND(Assumptions!$B$67=1,E$24=(INT((Assumptions!$B$68-1)/12)+1),(INT((Assumptions!$B$68-1)/12)+1)&lt;=$A32),Refinance!$B$14,0)+IF(E$24=$A32,Exit!$G25,0),0)</f>
        <v>672056.0660397606</v>
      </c>
      <c r="F32" s="95">
        <f>IF(F$24&lt;=$A32,F$7+IF(AND(Assumptions!$B$67=1,F$24=(INT((Assumptions!$B$68-1)/12)+1),(INT((Assumptions!$B$68-1)/12)+1)&lt;=$A32),Refinance!$B$14,0)+IF(F$24=$A32,Exit!$G25,0),0)</f>
        <v>23248.685451384037</v>
      </c>
      <c r="G32" s="95">
        <f>IF(G$24&lt;=$A32,G$7+IF(AND(Assumptions!$B$67=1,G$24=(INT((Assumptions!$B$68-1)/12)+1),(INT((Assumptions!$B$68-1)/12)+1)&lt;=$A32),Refinance!$B$14,0)+IF(G$24=$A32,Exit!$G25,0),0)</f>
        <v>28417.117916216623</v>
      </c>
      <c r="H32" s="95">
        <f>IF(H$24&lt;=$A32,H$7+IF(AND(Assumptions!$B$67=1,H$24=(INT((Assumptions!$B$68-1)/12)+1),(INT((Assumptions!$B$68-1)/12)+1)&lt;=$A32),Refinance!$B$14,0)+IF(H$24=$A32,Exit!$G25,0),0)</f>
        <v>33769.708908672459</v>
      </c>
      <c r="I32" s="95">
        <f>IF(I$24&lt;=$A32,I$7+IF(AND(Assumptions!$B$67=1,I$24=(INT((Assumptions!$B$68-1)/12)+1),(INT((Assumptions!$B$68-1)/12)+1)&lt;=$A32),Refinance!$B$14,0)+IF(I$24=$A32,Exit!$G25,0),0)</f>
        <v>39312.710823421992</v>
      </c>
      <c r="J32" s="95">
        <f>IF(J$24&lt;=$A32,J$7+IF(AND(Assumptions!$B$67=1,J$24=(INT((Assumptions!$B$68-1)/12)+1),(INT((Assumptions!$B$68-1)/12)+1)&lt;=$A32),Refinance!$B$14,0)+IF(J$24=$A32,Exit!$G25,0),0)</f>
        <v>1074559.6057289406</v>
      </c>
      <c r="K32" s="95">
        <f>IF(K$24&lt;=$A32,K$7+IF(AND(Assumptions!$B$67=1,K$24=(INT((Assumptions!$B$68-1)/12)+1),(INT((Assumptions!$B$68-1)/12)+1)&lt;=$A32),Refinance!$B$14,0)+IF(K$24=$A32,Exit!$G25,0),0)</f>
        <v>0</v>
      </c>
      <c r="L32" s="95">
        <f>IF(L$24&lt;=$A32,L$7+IF(AND(Assumptions!$B$67=1,L$24=(INT((Assumptions!$B$68-1)/12)+1),(INT((Assumptions!$B$68-1)/12)+1)&lt;=$A32),Refinance!$B$14,0)+IF(L$24=$A32,Exit!$G25,0),0)</f>
        <v>0</v>
      </c>
      <c r="N32" s="97">
        <f t="shared" si="2"/>
        <v>0.25758923667805944</v>
      </c>
      <c r="O32" s="98">
        <f>IFERROR(SUMIF(C32:L32,"&gt;0")/Acquisition!$B$23,0)</f>
        <v>3.255664798925284</v>
      </c>
      <c r="P32" s="95">
        <f>SUM(C32:L32)-Acquisition!$B$23</f>
        <v>1353624.445835063</v>
      </c>
    </row>
    <row r="33" spans="1:16" x14ac:dyDescent="0.25">
      <c r="A33" s="139">
        <v>9</v>
      </c>
      <c r="B33" s="95">
        <f>-Acquisition!$B$23</f>
        <v>-600100</v>
      </c>
      <c r="C33" s="95">
        <f>IF(C$24&lt;=$A33,C$7+IF(AND(Assumptions!$B$67=1,C$24=(INT((Assumptions!$B$68-1)/12)+1),(INT((Assumptions!$B$68-1)/12)+1)&lt;=$A33),Refinance!$B$14,0)+IF(C$24=$A33,Exit!$G26,0),0)</f>
        <v>22074.913333333323</v>
      </c>
      <c r="D33" s="95">
        <f>IF(D$24&lt;=$A33,D$7+IF(AND(Assumptions!$B$67=1,D$24=(INT((Assumptions!$B$68-1)/12)+1),(INT((Assumptions!$B$68-1)/12)+1)&lt;=$A33),Refinance!$B$14,0)+IF(D$24=$A33,Exit!$G26,0),0)</f>
        <v>60285.637633333397</v>
      </c>
      <c r="E33" s="95">
        <f>IF(E$24&lt;=$A33,E$7+IF(AND(Assumptions!$B$67=1,E$24=(INT((Assumptions!$B$68-1)/12)+1),(INT((Assumptions!$B$68-1)/12)+1)&lt;=$A33),Refinance!$B$14,0)+IF(E$24=$A33,Exit!$G26,0),0)</f>
        <v>672056.0660397606</v>
      </c>
      <c r="F33" s="95">
        <f>IF(F$24&lt;=$A33,F$7+IF(AND(Assumptions!$B$67=1,F$24=(INT((Assumptions!$B$68-1)/12)+1),(INT((Assumptions!$B$68-1)/12)+1)&lt;=$A33),Refinance!$B$14,0)+IF(F$24=$A33,Exit!$G26,0),0)</f>
        <v>23248.685451384037</v>
      </c>
      <c r="G33" s="95">
        <f>IF(G$24&lt;=$A33,G$7+IF(AND(Assumptions!$B$67=1,G$24=(INT((Assumptions!$B$68-1)/12)+1),(INT((Assumptions!$B$68-1)/12)+1)&lt;=$A33),Refinance!$B$14,0)+IF(G$24=$A33,Exit!$G26,0),0)</f>
        <v>28417.117916216623</v>
      </c>
      <c r="H33" s="95">
        <f>IF(H$24&lt;=$A33,H$7+IF(AND(Assumptions!$B$67=1,H$24=(INT((Assumptions!$B$68-1)/12)+1),(INT((Assumptions!$B$68-1)/12)+1)&lt;=$A33),Refinance!$B$14,0)+IF(H$24=$A33,Exit!$G26,0),0)</f>
        <v>33769.708908672459</v>
      </c>
      <c r="I33" s="95">
        <f>IF(I$24&lt;=$A33,I$7+IF(AND(Assumptions!$B$67=1,I$24=(INT((Assumptions!$B$68-1)/12)+1),(INT((Assumptions!$B$68-1)/12)+1)&lt;=$A33),Refinance!$B$14,0)+IF(I$24=$A33,Exit!$G26,0),0)</f>
        <v>39312.710823421992</v>
      </c>
      <c r="J33" s="95">
        <f>IF(J$24&lt;=$A33,J$7+IF(AND(Assumptions!$B$67=1,J$24=(INT((Assumptions!$B$68-1)/12)+1),(INT((Assumptions!$B$68-1)/12)+1)&lt;=$A33),Refinance!$B$14,0)+IF(J$24=$A33,Exit!$G26,0),0)</f>
        <v>45052.581817946964</v>
      </c>
      <c r="K33" s="95">
        <f>IF(K$24&lt;=$A33,K$7+IF(AND(Assumptions!$B$67=1,K$24=(INT((Assumptions!$B$68-1)/12)+1),(INT((Assumptions!$B$68-1)/12)+1)&lt;=$A33),Refinance!$B$14,0)+IF(K$24=$A33,Exit!$G26,0),0)</f>
        <v>1198693.8120442366</v>
      </c>
      <c r="L33" s="95">
        <f>IF(L$24&lt;=$A33,L$7+IF(AND(Assumptions!$B$67=1,L$24=(INT((Assumptions!$B$68-1)/12)+1),(INT((Assumptions!$B$68-1)/12)+1)&lt;=$A33),Refinance!$B$14,0)+IF(L$24=$A33,Exit!$G26,0),0)</f>
        <v>0</v>
      </c>
      <c r="N33" s="97">
        <f t="shared" si="2"/>
        <v>0.25204830424312918</v>
      </c>
      <c r="O33" s="98">
        <f>IFERROR(SUMIF(C33:L33,"&gt;0")/Acquisition!$B$23,0)</f>
        <v>3.537595790648735</v>
      </c>
      <c r="P33" s="95">
        <f>SUM(C33:L33)-Acquisition!$B$23</f>
        <v>1522811.2339683059</v>
      </c>
    </row>
    <row r="34" spans="1:16" x14ac:dyDescent="0.25">
      <c r="A34" s="139">
        <v>10</v>
      </c>
      <c r="B34" s="95">
        <f>-Acquisition!$B$23</f>
        <v>-600100</v>
      </c>
      <c r="C34" s="95">
        <f>IF(C$24&lt;=$A34,C$7+IF(AND(Assumptions!$B$67=1,C$24=(INT((Assumptions!$B$68-1)/12)+1),(INT((Assumptions!$B$68-1)/12)+1)&lt;=$A34),Refinance!$B$14,0)+IF(C$24=$A34,Exit!$G27,0),0)</f>
        <v>22074.913333333323</v>
      </c>
      <c r="D34" s="95">
        <f>IF(D$24&lt;=$A34,D$7+IF(AND(Assumptions!$B$67=1,D$24=(INT((Assumptions!$B$68-1)/12)+1),(INT((Assumptions!$B$68-1)/12)+1)&lt;=$A34),Refinance!$B$14,0)+IF(D$24=$A34,Exit!$G27,0),0)</f>
        <v>60285.637633333397</v>
      </c>
      <c r="E34" s="95">
        <f>IF(E$24&lt;=$A34,E$7+IF(AND(Assumptions!$B$67=1,E$24=(INT((Assumptions!$B$68-1)/12)+1),(INT((Assumptions!$B$68-1)/12)+1)&lt;=$A34),Refinance!$B$14,0)+IF(E$24=$A34,Exit!$G27,0),0)</f>
        <v>672056.0660397606</v>
      </c>
      <c r="F34" s="95">
        <f>IF(F$24&lt;=$A34,F$7+IF(AND(Assumptions!$B$67=1,F$24=(INT((Assumptions!$B$68-1)/12)+1),(INT((Assumptions!$B$68-1)/12)+1)&lt;=$A34),Refinance!$B$14,0)+IF(F$24=$A34,Exit!$G27,0),0)</f>
        <v>23248.685451384037</v>
      </c>
      <c r="G34" s="95">
        <f>IF(G$24&lt;=$A34,G$7+IF(AND(Assumptions!$B$67=1,G$24=(INT((Assumptions!$B$68-1)/12)+1),(INT((Assumptions!$B$68-1)/12)+1)&lt;=$A34),Refinance!$B$14,0)+IF(G$24=$A34,Exit!$G27,0),0)</f>
        <v>28417.117916216623</v>
      </c>
      <c r="H34" s="95">
        <f>IF(H$24&lt;=$A34,H$7+IF(AND(Assumptions!$B$67=1,H$24=(INT((Assumptions!$B$68-1)/12)+1),(INT((Assumptions!$B$68-1)/12)+1)&lt;=$A34),Refinance!$B$14,0)+IF(H$24=$A34,Exit!$G27,0),0)</f>
        <v>33769.708908672459</v>
      </c>
      <c r="I34" s="95">
        <f>IF(I$24&lt;=$A34,I$7+IF(AND(Assumptions!$B$67=1,I$24=(INT((Assumptions!$B$68-1)/12)+1),(INT((Assumptions!$B$68-1)/12)+1)&lt;=$A34),Refinance!$B$14,0)+IF(I$24=$A34,Exit!$G27,0),0)</f>
        <v>39312.710823421992</v>
      </c>
      <c r="J34" s="95">
        <f>IF(J$24&lt;=$A34,J$7+IF(AND(Assumptions!$B$67=1,J$24=(INT((Assumptions!$B$68-1)/12)+1),(INT((Assumptions!$B$68-1)/12)+1)&lt;=$A34),Refinance!$B$14,0)+IF(J$24=$A34,Exit!$G27,0),0)</f>
        <v>45052.581817946964</v>
      </c>
      <c r="K34" s="95">
        <f>IF(K$24&lt;=$A34,K$7+IF(AND(Assumptions!$B$67=1,K$24=(INT((Assumptions!$B$68-1)/12)+1),(INT((Assumptions!$B$68-1)/12)+1)&lt;=$A34),Refinance!$B$14,0)+IF(K$24=$A34,Exit!$G27,0),0)</f>
        <v>50995.992440198999</v>
      </c>
      <c r="L34" s="95">
        <f>IF(L$24&lt;=$A34,L$7+IF(AND(Assumptions!$B$67=1,L$24=(INT((Assumptions!$B$68-1)/12)+1),(INT((Assumptions!$B$68-1)/12)+1)&lt;=$A34),Refinance!$B$14,0)+IF(L$24=$A34,Exit!$G27,0),0)</f>
        <v>1231924.4970547569</v>
      </c>
      <c r="N34" s="97">
        <f t="shared" si="2"/>
        <v>0.2424330949026694</v>
      </c>
      <c r="O34" s="98">
        <f>IFERROR(SUMIF(C34:L34,"&gt;0")/Acquisition!$B$23,0)</f>
        <v>3.6779501939993753</v>
      </c>
      <c r="P34" s="95">
        <f>SUM(C34:L34)-Acquisition!$B$23</f>
        <v>1607037.9114190252</v>
      </c>
    </row>
  </sheetData>
  <mergeCells count="4">
    <mergeCell ref="A1:L1"/>
    <mergeCell ref="A2:L2"/>
    <mergeCell ref="A14:B14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showGridLines="0" topLeftCell="A6" zoomScaleNormal="100" workbookViewId="0">
      <selection activeCell="C26" sqref="C26"/>
    </sheetView>
  </sheetViews>
  <sheetFormatPr defaultColWidth="8.7109375" defaultRowHeight="15" x14ac:dyDescent="0.25"/>
  <cols>
    <col min="1" max="1" width="34" customWidth="1"/>
    <col min="2" max="12" width="12" customWidth="1"/>
  </cols>
  <sheetData>
    <row r="1" spans="1:12" ht="24" customHeight="1" x14ac:dyDescent="0.25">
      <c r="A1" s="141" t="s">
        <v>387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3.5" customHeight="1" x14ac:dyDescent="0.25">
      <c r="A2" s="142" t="s">
        <v>388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x14ac:dyDescent="0.25">
      <c r="A4" s="86" t="s">
        <v>389</v>
      </c>
      <c r="B4" s="49" t="s">
        <v>390</v>
      </c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2" x14ac:dyDescent="0.25">
      <c r="A5" s="1" t="s">
        <v>363</v>
      </c>
      <c r="B5" s="87" t="s">
        <v>391</v>
      </c>
      <c r="C5" s="88">
        <f>SUM('Monthly Operations'!D42:O42)</f>
        <v>81224.913333333316</v>
      </c>
      <c r="D5" s="88">
        <f>SUM('Monthly Operations'!P42:AA42)</f>
        <v>119435.63763333339</v>
      </c>
      <c r="E5" s="88">
        <f>SUM('Monthly Operations'!AB42:AM42)</f>
        <v>128483.35026400005</v>
      </c>
      <c r="F5" s="88">
        <f>SUM('Monthly Operations'!AN42:AY42)</f>
        <v>133473.67725692005</v>
      </c>
      <c r="G5" s="88">
        <f>SUM('Monthly Operations'!AZ42:BK42)</f>
        <v>138642.10972175264</v>
      </c>
      <c r="H5" s="88">
        <f>SUM('Monthly Operations'!BL42:BW42)</f>
        <v>143994.70071420848</v>
      </c>
      <c r="I5" s="88">
        <f>SUM('Monthly Operations'!BX42:CI42)</f>
        <v>149537.70262895801</v>
      </c>
      <c r="J5" s="88">
        <f>SUM('Monthly Operations'!CJ42:CU42)</f>
        <v>155277.57362348298</v>
      </c>
      <c r="K5" s="88">
        <f>SUM('Monthly Operations'!CV42:DG42)</f>
        <v>161220.98424573502</v>
      </c>
      <c r="L5" s="88">
        <f>SUM('Monthly Operations'!DH42:DS42)</f>
        <v>167374.82427199345</v>
      </c>
    </row>
    <row r="6" spans="1:12" x14ac:dyDescent="0.25">
      <c r="A6" s="1" t="s">
        <v>334</v>
      </c>
      <c r="B6" s="87" t="s">
        <v>391</v>
      </c>
      <c r="C6" s="88">
        <f>-SUM('Debt Schedule'!D18:O18)</f>
        <v>-59149.999999999993</v>
      </c>
      <c r="D6" s="88">
        <f>-SUM('Debt Schedule'!P18:AA18)</f>
        <v>-59149.999999999993</v>
      </c>
      <c r="E6" s="88">
        <f>-SUM('Debt Schedule'!AB18:AM18)</f>
        <v>-72455.425135440339</v>
      </c>
      <c r="F6" s="88">
        <f>-SUM('Debt Schedule'!AN18:AY18)</f>
        <v>-110224.99180553602</v>
      </c>
      <c r="G6" s="88">
        <f>-SUM('Debt Schedule'!AZ18:BK18)</f>
        <v>-110224.99180553602</v>
      </c>
      <c r="H6" s="88">
        <f>-SUM('Debt Schedule'!BL18:BW18)</f>
        <v>-110224.99180553602</v>
      </c>
      <c r="I6" s="88">
        <f>-SUM('Debt Schedule'!BX18:CI18)</f>
        <v>-110224.99180553602</v>
      </c>
      <c r="J6" s="88">
        <f>-SUM('Debt Schedule'!CJ18:CU18)</f>
        <v>-110224.99180553602</v>
      </c>
      <c r="K6" s="88">
        <f>-SUM('Debt Schedule'!CV18:DG18)</f>
        <v>-110224.99180553602</v>
      </c>
      <c r="L6" s="88">
        <f>-SUM('Debt Schedule'!DH18:DS18)</f>
        <v>-110224.99180553602</v>
      </c>
    </row>
    <row r="7" spans="1:12" x14ac:dyDescent="0.25">
      <c r="A7" s="14" t="s">
        <v>392</v>
      </c>
      <c r="B7" s="87" t="s">
        <v>391</v>
      </c>
      <c r="C7" s="67">
        <f t="shared" ref="C7:L7" si="0">C5+C6</f>
        <v>22074.913333333323</v>
      </c>
      <c r="D7" s="67">
        <f t="shared" si="0"/>
        <v>60285.637633333397</v>
      </c>
      <c r="E7" s="67">
        <f t="shared" si="0"/>
        <v>56027.925128559713</v>
      </c>
      <c r="F7" s="67">
        <f t="shared" si="0"/>
        <v>23248.685451384037</v>
      </c>
      <c r="G7" s="67">
        <f t="shared" si="0"/>
        <v>28417.117916216623</v>
      </c>
      <c r="H7" s="67">
        <f t="shared" si="0"/>
        <v>33769.708908672459</v>
      </c>
      <c r="I7" s="67">
        <f t="shared" si="0"/>
        <v>39312.710823421992</v>
      </c>
      <c r="J7" s="67">
        <f t="shared" si="0"/>
        <v>45052.581817946964</v>
      </c>
      <c r="K7" s="67">
        <f t="shared" si="0"/>
        <v>50995.992440198999</v>
      </c>
      <c r="L7" s="67">
        <f t="shared" si="0"/>
        <v>57149.832466457432</v>
      </c>
    </row>
    <row r="8" spans="1:12" x14ac:dyDescent="0.25">
      <c r="A8" s="1" t="s">
        <v>393</v>
      </c>
      <c r="B8" s="87" t="s">
        <v>391</v>
      </c>
      <c r="C8" s="88">
        <f>IF(AND(Assumptions!$B$67=1,(INT((Assumptions!$B$68-1)/12)+1)=COLUMN(A1),(INT((Assumptions!$B$68-1)/12)+1)&lt;=Exit!$B$6),Refinance!$B$14,0)</f>
        <v>0</v>
      </c>
      <c r="D8" s="88">
        <f>IF(AND(Assumptions!$B$67=1,(INT((Assumptions!$B$68-1)/12)+1)=COLUMN(B1),(INT((Assumptions!$B$68-1)/12)+1)&lt;=Exit!$B$6),Refinance!$B$14,0)</f>
        <v>0</v>
      </c>
      <c r="E8" s="88">
        <f>IF(AND(Assumptions!$B$67=1,(INT((Assumptions!$B$68-1)/12)+1)=COLUMN(C1),(INT((Assumptions!$B$68-1)/12)+1)&lt;=Exit!$B$6),Refinance!$B$14,0)</f>
        <v>616028.1409112009</v>
      </c>
      <c r="F8" s="88">
        <f>IF(AND(Assumptions!$B$67=1,(INT((Assumptions!$B$68-1)/12)+1)=COLUMN(D1),(INT((Assumptions!$B$68-1)/12)+1)&lt;=Exit!$B$6),Refinance!$B$14,0)</f>
        <v>0</v>
      </c>
      <c r="G8" s="88">
        <f>IF(AND(Assumptions!$B$67=1,(INT((Assumptions!$B$68-1)/12)+1)=COLUMN(E1),(INT((Assumptions!$B$68-1)/12)+1)&lt;=Exit!$B$6),Refinance!$B$14,0)</f>
        <v>0</v>
      </c>
      <c r="H8" s="88">
        <f>IF(AND(Assumptions!$B$67=1,(INT((Assumptions!$B$68-1)/12)+1)=COLUMN(F1),(INT((Assumptions!$B$68-1)/12)+1)&lt;=Exit!$B$6),Refinance!$B$14,0)</f>
        <v>0</v>
      </c>
      <c r="I8" s="88">
        <f>IF(AND(Assumptions!$B$67=1,(INT((Assumptions!$B$68-1)/12)+1)=COLUMN(G1),(INT((Assumptions!$B$68-1)/12)+1)&lt;=Exit!$B$6),Refinance!$B$14,0)</f>
        <v>0</v>
      </c>
      <c r="J8" s="88">
        <f>IF(AND(Assumptions!$B$67=1,(INT((Assumptions!$B$68-1)/12)+1)=COLUMN(H1),(INT((Assumptions!$B$68-1)/12)+1)&lt;=Exit!$B$6),Refinance!$B$14,0)</f>
        <v>0</v>
      </c>
      <c r="K8" s="88">
        <f>IF(AND(Assumptions!$B$67=1,(INT((Assumptions!$B$68-1)/12)+1)=COLUMN(I1),(INT((Assumptions!$B$68-1)/12)+1)&lt;=Exit!$B$6),Refinance!$B$14,0)</f>
        <v>0</v>
      </c>
      <c r="L8" s="88">
        <f>IF(AND(Assumptions!$B$67=1,(INT((Assumptions!$B$68-1)/12)+1)=COLUMN(J1),(INT((Assumptions!$B$68-1)/12)+1)&lt;=Exit!$B$6),Refinance!$B$14,0)</f>
        <v>0</v>
      </c>
    </row>
    <row r="9" spans="1:12" x14ac:dyDescent="0.25">
      <c r="A9" s="1" t="s">
        <v>16</v>
      </c>
      <c r="B9" s="87" t="s">
        <v>391</v>
      </c>
      <c r="C9" s="88">
        <f>IF(1=Exit!$B$6,Exit!$B$13,0)</f>
        <v>0</v>
      </c>
      <c r="D9" s="88">
        <f>IF(2=Exit!$B$6,Exit!$B$13,0)</f>
        <v>0</v>
      </c>
      <c r="E9" s="88">
        <f>IF(3=Exit!$B$6,Exit!$B$13,0)</f>
        <v>0</v>
      </c>
      <c r="F9" s="88">
        <f>IF(4=Exit!$B$6,Exit!$B$13,0)</f>
        <v>0</v>
      </c>
      <c r="G9" s="88">
        <f>IF(5=Exit!$B$6,Exit!$B$13,0)</f>
        <v>701987.73042483395</v>
      </c>
      <c r="H9" s="88">
        <f>IF(6=Exit!$B$6,Exit!$B$13,0)</f>
        <v>0</v>
      </c>
      <c r="I9" s="88">
        <f>IF(7=Exit!$B$6,Exit!$B$13,0)</f>
        <v>0</v>
      </c>
      <c r="J9" s="88">
        <f>IF(8=Exit!$B$6,Exit!$B$13,0)</f>
        <v>0</v>
      </c>
      <c r="K9" s="88">
        <f>IF(9=Exit!$B$6,Exit!$B$13,0)</f>
        <v>0</v>
      </c>
      <c r="L9" s="88">
        <f>IF(10=Exit!$B$6,Exit!$B$13,0)</f>
        <v>0</v>
      </c>
    </row>
    <row r="10" spans="1:12" x14ac:dyDescent="0.25">
      <c r="A10" s="1" t="s">
        <v>394</v>
      </c>
      <c r="B10" s="88">
        <f>-Acquisition!$B$23</f>
        <v>-600100</v>
      </c>
      <c r="C10" s="88" t="s">
        <v>391</v>
      </c>
      <c r="D10" s="87" t="s">
        <v>391</v>
      </c>
      <c r="E10" s="87" t="s">
        <v>391</v>
      </c>
      <c r="F10" s="87" t="s">
        <v>391</v>
      </c>
      <c r="G10" s="87" t="s">
        <v>391</v>
      </c>
      <c r="H10" s="87" t="s">
        <v>391</v>
      </c>
      <c r="I10" s="87" t="s">
        <v>391</v>
      </c>
      <c r="J10" s="87" t="s">
        <v>391</v>
      </c>
      <c r="K10" s="87" t="s">
        <v>391</v>
      </c>
      <c r="L10" s="87" t="s">
        <v>391</v>
      </c>
    </row>
    <row r="11" spans="1:12" x14ac:dyDescent="0.25">
      <c r="A11" s="54" t="s">
        <v>395</v>
      </c>
      <c r="B11" s="65">
        <f>B10</f>
        <v>-600100</v>
      </c>
      <c r="C11" s="65">
        <f>IF(1&gt;Exit!$B$6,0,C7+C8)+C9</f>
        <v>22074.913333333323</v>
      </c>
      <c r="D11" s="65">
        <f>IF(2&gt;Exit!$B$6,0,D7+D8)+D9</f>
        <v>60285.637633333397</v>
      </c>
      <c r="E11" s="65">
        <f>IF(3&gt;Exit!$B$6,0,E7+E8)+E9</f>
        <v>672056.0660397606</v>
      </c>
      <c r="F11" s="65">
        <f>IF(4&gt;Exit!$B$6,0,F7+F8)+F9</f>
        <v>23248.685451384037</v>
      </c>
      <c r="G11" s="65">
        <f>IF(5&gt;Exit!$B$6,0,G7+G8)+G9</f>
        <v>730404.84834105056</v>
      </c>
      <c r="H11" s="65">
        <f>IF(6&gt;Exit!$B$6,0,H7+H8)+H9</f>
        <v>0</v>
      </c>
      <c r="I11" s="65">
        <f>IF(7&gt;Exit!$B$6,0,I7+I8)+I9</f>
        <v>0</v>
      </c>
      <c r="J11" s="65">
        <f>IF(8&gt;Exit!$B$6,0,J7+J8)+J9</f>
        <v>0</v>
      </c>
      <c r="K11" s="65">
        <f>IF(9&gt;Exit!$B$6,0,K7+K8)+K9</f>
        <v>0</v>
      </c>
      <c r="L11" s="65">
        <f>IF(10&gt;Exit!$B$6,0,L7+L8)+L9</f>
        <v>0</v>
      </c>
    </row>
    <row r="12" spans="1:12" x14ac:dyDescent="0.25">
      <c r="A12" s="17" t="s">
        <v>396</v>
      </c>
      <c r="B12" s="89">
        <f>B11</f>
        <v>-600100</v>
      </c>
      <c r="C12" s="89">
        <f t="shared" ref="C12:L12" si="1">B12+C11</f>
        <v>-578025.08666666667</v>
      </c>
      <c r="D12" s="89">
        <f t="shared" si="1"/>
        <v>-517739.44903333328</v>
      </c>
      <c r="E12" s="89">
        <f t="shared" si="1"/>
        <v>154316.61700642732</v>
      </c>
      <c r="F12" s="89">
        <f t="shared" si="1"/>
        <v>177565.30245781137</v>
      </c>
      <c r="G12" s="89">
        <f t="shared" si="1"/>
        <v>907970.15079886187</v>
      </c>
      <c r="H12" s="89">
        <f t="shared" si="1"/>
        <v>907970.15079886187</v>
      </c>
      <c r="I12" s="89">
        <f t="shared" si="1"/>
        <v>907970.15079886187</v>
      </c>
      <c r="J12" s="89">
        <f t="shared" si="1"/>
        <v>907970.15079886187</v>
      </c>
      <c r="K12" s="89">
        <f t="shared" si="1"/>
        <v>907970.15079886187</v>
      </c>
      <c r="L12" s="89">
        <f t="shared" si="1"/>
        <v>907970.15079886187</v>
      </c>
    </row>
    <row r="14" spans="1:12" hidden="1" x14ac:dyDescent="0.25">
      <c r="A14" s="143" t="s">
        <v>397</v>
      </c>
      <c r="B14" s="143"/>
      <c r="C14" s="88"/>
      <c r="D14" s="88"/>
      <c r="E14" s="88"/>
      <c r="F14" s="88"/>
      <c r="G14" s="88"/>
      <c r="H14" s="88"/>
      <c r="I14" s="88"/>
    </row>
    <row r="15" spans="1:12" hidden="1" x14ac:dyDescent="0.25">
      <c r="A15" s="14" t="s">
        <v>398</v>
      </c>
      <c r="B15" s="90">
        <f>Acquisition!$B$23</f>
        <v>600100</v>
      </c>
    </row>
    <row r="16" spans="1:12" hidden="1" x14ac:dyDescent="0.25">
      <c r="A16" s="14" t="s">
        <v>18</v>
      </c>
      <c r="B16" s="81">
        <f>IFERROR(IRR(B11:L11),0)</f>
        <v>0.27741656061743103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spans="1:16" hidden="1" x14ac:dyDescent="0.25">
      <c r="A17" s="14" t="s">
        <v>399</v>
      </c>
      <c r="B17" s="91">
        <f>IFERROR(SUMIF(C11:L11,"&gt;0")/Acquisition!$B$23,0)</f>
        <v>2.5130314127626425</v>
      </c>
      <c r="E17" t="s">
        <v>533</v>
      </c>
    </row>
    <row r="18" spans="1:16" hidden="1" x14ac:dyDescent="0.25">
      <c r="A18" s="14" t="s">
        <v>21</v>
      </c>
      <c r="B18" s="90">
        <f>SUM(C11:L11)-Acquisition!$B$23</f>
        <v>907970.15079886187</v>
      </c>
      <c r="C18" s="88">
        <f>IF(AND(Assumptions!$B$67=1,(INT((Assumptions!$B$68-1)/12)+1)=COLUMN(A11),(INT((Assumptions!$B$68-1)/12)+1)&lt;=Exit!$B$6),Refinance!$B$14,0)</f>
        <v>0</v>
      </c>
      <c r="E18" t="s">
        <v>534</v>
      </c>
    </row>
    <row r="19" spans="1:16" hidden="1" x14ac:dyDescent="0.25">
      <c r="A19" s="14" t="s">
        <v>400</v>
      </c>
      <c r="B19" s="92">
        <f>IFERROR(AVERAGE(C7:L7)/Acquisition!$B$23,0)</f>
        <v>6.9377621383023655E-2</v>
      </c>
    </row>
    <row r="20" spans="1:16" hidden="1" x14ac:dyDescent="0.25">
      <c r="A20" s="14" t="s">
        <v>401</v>
      </c>
      <c r="B20" s="93">
        <f>Exit!$B$6</f>
        <v>5</v>
      </c>
    </row>
    <row r="22" spans="1:16" x14ac:dyDescent="0.25">
      <c r="A22" s="143" t="s">
        <v>402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</row>
    <row r="23" spans="1:16" x14ac:dyDescent="0.25">
      <c r="A23" s="138"/>
      <c r="B23" s="94"/>
      <c r="C23" s="94" t="s">
        <v>535</v>
      </c>
      <c r="D23" s="94" t="s">
        <v>535</v>
      </c>
      <c r="E23" s="94" t="s">
        <v>535</v>
      </c>
      <c r="F23" s="94" t="s">
        <v>535</v>
      </c>
      <c r="G23" s="94" t="s">
        <v>535</v>
      </c>
      <c r="H23" s="94" t="s">
        <v>535</v>
      </c>
      <c r="I23" s="94" t="s">
        <v>535</v>
      </c>
      <c r="J23" s="94" t="s">
        <v>535</v>
      </c>
      <c r="K23" s="94" t="s">
        <v>535</v>
      </c>
      <c r="L23" s="94" t="s">
        <v>535</v>
      </c>
    </row>
    <row r="24" spans="1:16" x14ac:dyDescent="0.25">
      <c r="A24" s="9" t="s">
        <v>403</v>
      </c>
      <c r="B24" s="94" t="s">
        <v>404</v>
      </c>
      <c r="C24" s="94">
        <v>1</v>
      </c>
      <c r="D24" s="94">
        <v>2</v>
      </c>
      <c r="E24" s="94">
        <v>3</v>
      </c>
      <c r="F24" s="94">
        <v>4</v>
      </c>
      <c r="G24" s="94">
        <v>5</v>
      </c>
      <c r="H24" s="94">
        <v>6</v>
      </c>
      <c r="I24" s="94">
        <v>7</v>
      </c>
      <c r="J24" s="94">
        <v>8</v>
      </c>
      <c r="K24" s="94">
        <v>9</v>
      </c>
      <c r="L24" s="94">
        <v>10</v>
      </c>
      <c r="N24" s="94" t="s">
        <v>384</v>
      </c>
      <c r="O24" s="94" t="s">
        <v>405</v>
      </c>
      <c r="P24" s="94" t="s">
        <v>386</v>
      </c>
    </row>
    <row r="25" spans="1:16" x14ac:dyDescent="0.25">
      <c r="A25" s="139">
        <v>1</v>
      </c>
      <c r="B25" s="95">
        <f>-Acquisition!$B$23</f>
        <v>-600100</v>
      </c>
      <c r="C25" s="95">
        <f>IF(C$24&lt;=$A25,C$7+IF(AND(Assumptions!$B$67=1,C$24=ROUNDUP(Assumptions!$B$68/12,0),$A25&gt;=ROUNDUP(Assumptions!$B$68/12,0)),Refinance!$B$14,0)+IF(C$24=$A25,Exit!$G18,0),0)</f>
        <v>936601.25376410293</v>
      </c>
      <c r="D25" s="95">
        <f>IF(D$24&lt;=$A25,D$7+IF(AND(Assumptions!$B$67=1,D$24=ROUNDUP(Assumptions!$B$68/12,0),$A25&gt;=ROUNDUP(Assumptions!$B$68/12,0)),Refinance!$B$14,0)+IF(D$24=$A25,Exit!$G18,0),0)</f>
        <v>0</v>
      </c>
      <c r="E25" s="95">
        <f>IF(E$24&lt;=$A25,E$7+IF(AND(Assumptions!$B$67=1,E$24=ROUNDUP(Assumptions!$B$68/12,0),$A25&gt;=ROUNDUP(Assumptions!$B$68/12,0)),Refinance!$B$14,0)+IF(E$24=$A25,Exit!$G18,0),0)</f>
        <v>0</v>
      </c>
      <c r="F25" s="95">
        <f>IF(F$24&lt;=$A25,F$7+IF(AND(Assumptions!$B$67=1,F$24=ROUNDUP(Assumptions!$B$68/12,0),$A25&gt;=ROUNDUP(Assumptions!$B$68/12,0)),Refinance!$B$14,0)+IF(F$24=$A25,Exit!$G18,0),0)</f>
        <v>0</v>
      </c>
      <c r="G25" s="95">
        <f>IF(G$24&lt;=$A25,G$7+IF(AND(Assumptions!$B$67=1,G$24=ROUNDUP(Assumptions!$B$68/12,0),$A25&gt;=ROUNDUP(Assumptions!$B$68/12,0)),Refinance!$B$14,0)+IF(G$24=$A25,Exit!$G18,0),0)</f>
        <v>0</v>
      </c>
      <c r="H25" s="95">
        <f>IF(H$24&lt;=$A25,H$7+IF(AND(Assumptions!$B$67=1,H$24=ROUNDUP(Assumptions!$B$68/12,0),$A25&gt;=ROUNDUP(Assumptions!$B$68/12,0)),Refinance!$B$14,0)+IF(H$24=$A25,Exit!$G18,0),0)</f>
        <v>0</v>
      </c>
      <c r="I25" s="95">
        <f>IF(I$24&lt;=$A25,I$7+IF(AND(Assumptions!$B$67=1,I$24=ROUNDUP(Assumptions!$B$68/12,0),$A25&gt;=ROUNDUP(Assumptions!$B$68/12,0)),Refinance!$B$14,0)+IF(I$24=$A25,Exit!$G18,0),0)</f>
        <v>0</v>
      </c>
      <c r="J25" s="95">
        <f>IF(J$24&lt;=$A25,J$7+IF(AND(Assumptions!$B$67=1,J$24=ROUNDUP(Assumptions!$B$68/12,0),$A25&gt;=ROUNDUP(Assumptions!$B$68/12,0)),Refinance!$B$14,0)+IF(J$24=$A25,Exit!$G18,0),0)</f>
        <v>0</v>
      </c>
      <c r="K25" s="95">
        <f>IF(K$24&lt;=$A25,K$7+IF(AND(Assumptions!$B$67=1,K$24=ROUNDUP(Assumptions!$B$68/12,0),$A25&gt;=ROUNDUP(Assumptions!$B$68/12,0)),Refinance!$B$14,0)+IF(K$24=$A25,Exit!$G18,0),0)</f>
        <v>0</v>
      </c>
      <c r="L25" s="95">
        <f>IF(L$24&lt;=$A25,L$7+IF(AND(Assumptions!$B$67=1,L$24=ROUNDUP(Assumptions!$B$68/12,0),$A25&gt;=ROUNDUP(Assumptions!$B$68/12,0)),Refinance!$B$14,0)+IF(L$24=$A25,Exit!$G18,0),0)</f>
        <v>0</v>
      </c>
      <c r="N25" s="97">
        <f t="shared" ref="N25:N34" si="2">IFERROR(IRR(B25:L25),0)</f>
        <v>0.56074196594584702</v>
      </c>
      <c r="O25" s="98">
        <f>IFERROR(SUMIF(C25:L25,"&gt;0")/Acquisition!$B$23,0)</f>
        <v>1.5607419659458472</v>
      </c>
      <c r="P25" s="95">
        <f>SUM(C25:L25)-Acquisition!$B$23</f>
        <v>336501.25376410293</v>
      </c>
    </row>
    <row r="26" spans="1:16" x14ac:dyDescent="0.25">
      <c r="A26" s="139">
        <v>2</v>
      </c>
      <c r="B26" s="95">
        <f>-Acquisition!$B$23</f>
        <v>-600100</v>
      </c>
      <c r="C26" s="95">
        <f>IF(C$24&lt;=$A26,C$7+IF(AND(Assumptions!$B$67=1,C$24=ROUNDUP(Assumptions!$B$68/12,0),$A26&gt;=ROUNDUP(Assumptions!$B$68/12,0)),Refinance!$B$14,0)+IF(C$24=$A26,Exit!$G19,0),0)</f>
        <v>22074.913333333323</v>
      </c>
      <c r="D26" s="95">
        <f>IF(D$24&lt;=$A26,D$7+IF(AND(Assumptions!$B$67=1,D$24=ROUNDUP(Assumptions!$B$68/12,0),$A26&gt;=ROUNDUP(Assumptions!$B$68/12,0)),Refinance!$B$14,0)+IF(D$24=$A26,Exit!$G19,0),0)</f>
        <v>1109953.5799939493</v>
      </c>
      <c r="E26" s="95">
        <f>IF(E$24&lt;=$A26,E$7+IF(AND(Assumptions!$B$67=1,E$24=ROUNDUP(Assumptions!$B$68/12,0),$A26&gt;=ROUNDUP(Assumptions!$B$68/12,0)),Refinance!$B$14,0)+IF(E$24=$A26,Exit!$G19,0),0)</f>
        <v>0</v>
      </c>
      <c r="F26" s="95">
        <f>IF(F$24&lt;=$A26,F$7+IF(AND(Assumptions!$B$67=1,F$24=ROUNDUP(Assumptions!$B$68/12,0),$A26&gt;=ROUNDUP(Assumptions!$B$68/12,0)),Refinance!$B$14,0)+IF(F$24=$A26,Exit!$G19,0),0)</f>
        <v>0</v>
      </c>
      <c r="G26" s="95">
        <f>IF(G$24&lt;=$A26,G$7+IF(AND(Assumptions!$B$67=1,G$24=ROUNDUP(Assumptions!$B$68/12,0),$A26&gt;=ROUNDUP(Assumptions!$B$68/12,0)),Refinance!$B$14,0)+IF(G$24=$A26,Exit!$G19,0),0)</f>
        <v>0</v>
      </c>
      <c r="H26" s="95">
        <f>IF(H$24&lt;=$A26,H$7+IF(AND(Assumptions!$B$67=1,H$24=ROUNDUP(Assumptions!$B$68/12,0),$A26&gt;=ROUNDUP(Assumptions!$B$68/12,0)),Refinance!$B$14,0)+IF(H$24=$A26,Exit!$G19,0),0)</f>
        <v>0</v>
      </c>
      <c r="I26" s="95">
        <f>IF(I$24&lt;=$A26,I$7+IF(AND(Assumptions!$B$67=1,I$24=ROUNDUP(Assumptions!$B$68/12,0),$A26&gt;=ROUNDUP(Assumptions!$B$68/12,0)),Refinance!$B$14,0)+IF(I$24=$A26,Exit!$G19,0),0)</f>
        <v>0</v>
      </c>
      <c r="J26" s="95">
        <f>IF(J$24&lt;=$A26,J$7+IF(AND(Assumptions!$B$67=1,J$24=ROUNDUP(Assumptions!$B$68/12,0),$A26&gt;=ROUNDUP(Assumptions!$B$68/12,0)),Refinance!$B$14,0)+IF(J$24=$A26,Exit!$G19,0),0)</f>
        <v>0</v>
      </c>
      <c r="K26" s="95">
        <f>IF(K$24&lt;=$A26,K$7+IF(AND(Assumptions!$B$67=1,K$24=ROUNDUP(Assumptions!$B$68/12,0),$A26&gt;=ROUNDUP(Assumptions!$B$68/12,0)),Refinance!$B$14,0)+IF(K$24=$A26,Exit!$G19,0),0)</f>
        <v>0</v>
      </c>
      <c r="L26" s="95">
        <f>IF(L$24&lt;=$A26,L$7+IF(AND(Assumptions!$B$67=1,L$24=ROUNDUP(Assumptions!$B$68/12,0),$A26&gt;=ROUNDUP(Assumptions!$B$68/12,0)),Refinance!$B$14,0)+IF(L$24=$A26,Exit!$G19,0),0)</f>
        <v>0</v>
      </c>
      <c r="N26" s="97">
        <f t="shared" si="2"/>
        <v>0.37852234224566184</v>
      </c>
      <c r="O26" s="98">
        <f>IFERROR(SUMIF(C26:L26,"&gt;0")/Acquisition!$B$23,0)</f>
        <v>1.8863997555862067</v>
      </c>
      <c r="P26" s="95">
        <f>SUM(C26:L26)-Acquisition!$B$23</f>
        <v>531928.4933272826</v>
      </c>
    </row>
    <row r="27" spans="1:16" x14ac:dyDescent="0.25">
      <c r="A27" s="139">
        <v>3</v>
      </c>
      <c r="B27" s="95">
        <f>-Acquisition!$B$23</f>
        <v>-600100</v>
      </c>
      <c r="C27" s="95">
        <f>IF(C$24&lt;=$A27,C$7+IF(AND(Assumptions!$B$67=1,C$24=ROUNDUP(Assumptions!$B$68/12,0),$A27&gt;=ROUNDUP(Assumptions!$B$68/12,0)),Refinance!$B$14,0)+IF(C$24=$A27,Exit!$G20,0),0)</f>
        <v>22074.913333333323</v>
      </c>
      <c r="D27" s="95">
        <f>IF(D$24&lt;=$A27,D$7+IF(AND(Assumptions!$B$67=1,D$24=ROUNDUP(Assumptions!$B$68/12,0),$A27&gt;=ROUNDUP(Assumptions!$B$68/12,0)),Refinance!$B$14,0)+IF(D$24=$A27,Exit!$G20,0),0)</f>
        <v>60285.637633333397</v>
      </c>
      <c r="E27" s="95">
        <f>IF(E$24&lt;=$A27,E$7+IF(AND(Assumptions!$B$67=1,E$24=ROUNDUP(Assumptions!$B$68/12,0),$A27&gt;=ROUNDUP(Assumptions!$B$68/12,0)),Refinance!$B$14,0)+IF(E$24=$A27,Exit!$G20,0),0)</f>
        <v>1176453.7950579359</v>
      </c>
      <c r="F27" s="95">
        <f>IF(F$24&lt;=$A27,F$7+IF(AND(Assumptions!$B$67=1,F$24=ROUNDUP(Assumptions!$B$68/12,0),$A27&gt;=ROUNDUP(Assumptions!$B$68/12,0)),Refinance!$B$14,0)+IF(F$24=$A27,Exit!$G20,0),0)</f>
        <v>0</v>
      </c>
      <c r="G27" s="95">
        <f>IF(G$24&lt;=$A27,G$7+IF(AND(Assumptions!$B$67=1,G$24=ROUNDUP(Assumptions!$B$68/12,0),$A27&gt;=ROUNDUP(Assumptions!$B$68/12,0)),Refinance!$B$14,0)+IF(G$24=$A27,Exit!$G20,0),0)</f>
        <v>0</v>
      </c>
      <c r="H27" s="95">
        <f>IF(H$24&lt;=$A27,H$7+IF(AND(Assumptions!$B$67=1,H$24=ROUNDUP(Assumptions!$B$68/12,0),$A27&gt;=ROUNDUP(Assumptions!$B$68/12,0)),Refinance!$B$14,0)+IF(H$24=$A27,Exit!$G20,0),0)</f>
        <v>0</v>
      </c>
      <c r="I27" s="95">
        <f>IF(I$24&lt;=$A27,I$7+IF(AND(Assumptions!$B$67=1,I$24=ROUNDUP(Assumptions!$B$68/12,0),$A27&gt;=ROUNDUP(Assumptions!$B$68/12,0)),Refinance!$B$14,0)+IF(I$24=$A27,Exit!$G20,0),0)</f>
        <v>0</v>
      </c>
      <c r="J27" s="95">
        <f>IF(J$24&lt;=$A27,J$7+IF(AND(Assumptions!$B$67=1,J$24=ROUNDUP(Assumptions!$B$68/12,0),$A27&gt;=ROUNDUP(Assumptions!$B$68/12,0)),Refinance!$B$14,0)+IF(J$24=$A27,Exit!$G20,0),0)</f>
        <v>0</v>
      </c>
      <c r="K27" s="95">
        <f>IF(K$24&lt;=$A27,K$7+IF(AND(Assumptions!$B$67=1,K$24=ROUNDUP(Assumptions!$B$68/12,0),$A27&gt;=ROUNDUP(Assumptions!$B$68/12,0)),Refinance!$B$14,0)+IF(K$24=$A27,Exit!$G20,0),0)</f>
        <v>0</v>
      </c>
      <c r="L27" s="95">
        <f>IF(L$24&lt;=$A27,L$7+IF(AND(Assumptions!$B$67=1,L$24=ROUNDUP(Assumptions!$B$68/12,0),$A27&gt;=ROUNDUP(Assumptions!$B$68/12,0)),Refinance!$B$14,0)+IF(L$24=$A27,Exit!$G20,0),0)</f>
        <v>0</v>
      </c>
      <c r="N27" s="97">
        <f t="shared" si="2"/>
        <v>0.29094732124649836</v>
      </c>
      <c r="O27" s="98">
        <f>IFERROR(SUMIF(C27:L27,"&gt;0")/Acquisition!$B$23,0)</f>
        <v>2.0976742976580613</v>
      </c>
      <c r="P27" s="95">
        <f>SUM(C27:L27)-Acquisition!$B$23</f>
        <v>658714.34602460265</v>
      </c>
    </row>
    <row r="28" spans="1:16" x14ac:dyDescent="0.25">
      <c r="A28" s="139">
        <v>4</v>
      </c>
      <c r="B28" s="95">
        <f>-Acquisition!$B$23</f>
        <v>-600100</v>
      </c>
      <c r="C28" s="95">
        <f>IF(C$24&lt;=$A28,C$7+IF(AND(Assumptions!$B$67=1,C$24=ROUNDUP(Assumptions!$B$68/12,0),$A28&gt;=ROUNDUP(Assumptions!$B$68/12,0)),Refinance!$B$14,0)+IF(C$24=$A28,Exit!$G21,0),0)</f>
        <v>22074.913333333323</v>
      </c>
      <c r="D28" s="95">
        <f>IF(D$24&lt;=$A28,D$7+IF(AND(Assumptions!$B$67=1,D$24=ROUNDUP(Assumptions!$B$68/12,0),$A28&gt;=ROUNDUP(Assumptions!$B$68/12,0)),Refinance!$B$14,0)+IF(D$24=$A28,Exit!$G21,0),0)</f>
        <v>60285.637633333397</v>
      </c>
      <c r="E28" s="95">
        <f>IF(E$24&lt;=$A28,E$7+IF(AND(Assumptions!$B$67=1,E$24=ROUNDUP(Assumptions!$B$68/12,0),$A28&gt;=ROUNDUP(Assumptions!$B$68/12,0)),Refinance!$B$14,0)+IF(E$24=$A28,Exit!$G21,0),0)</f>
        <v>672056.0660397606</v>
      </c>
      <c r="F28" s="95">
        <f>IF(F$24&lt;=$A28,F$7+IF(AND(Assumptions!$B$67=1,F$24=ROUNDUP(Assumptions!$B$68/12,0),$A28&gt;=ROUNDUP(Assumptions!$B$68/12,0)),Refinance!$B$14,0)+IF(F$24=$A28,Exit!$G21,0),0)</f>
        <v>624478.49753121322</v>
      </c>
      <c r="G28" s="95">
        <f>IF(G$24&lt;=$A28,G$7+IF(AND(Assumptions!$B$67=1,G$24=ROUNDUP(Assumptions!$B$68/12,0),$A28&gt;=ROUNDUP(Assumptions!$B$68/12,0)),Refinance!$B$14,0)+IF(G$24=$A28,Exit!$G21,0),0)</f>
        <v>0</v>
      </c>
      <c r="H28" s="95">
        <f>IF(H$24&lt;=$A28,H$7+IF(AND(Assumptions!$B$67=1,H$24=ROUNDUP(Assumptions!$B$68/12,0),$A28&gt;=ROUNDUP(Assumptions!$B$68/12,0)),Refinance!$B$14,0)+IF(H$24=$A28,Exit!$G21,0),0)</f>
        <v>0</v>
      </c>
      <c r="I28" s="95">
        <f>IF(I$24&lt;=$A28,I$7+IF(AND(Assumptions!$B$67=1,I$24=ROUNDUP(Assumptions!$B$68/12,0),$A28&gt;=ROUNDUP(Assumptions!$B$68/12,0)),Refinance!$B$14,0)+IF(I$24=$A28,Exit!$G21,0),0)</f>
        <v>0</v>
      </c>
      <c r="J28" s="95">
        <f>IF(J$24&lt;=$A28,J$7+IF(AND(Assumptions!$B$67=1,J$24=ROUNDUP(Assumptions!$B$68/12,0),$A28&gt;=ROUNDUP(Assumptions!$B$68/12,0)),Refinance!$B$14,0)+IF(J$24=$A28,Exit!$G21,0),0)</f>
        <v>0</v>
      </c>
      <c r="K28" s="95">
        <f>IF(K$24&lt;=$A28,K$7+IF(AND(Assumptions!$B$67=1,K$24=ROUNDUP(Assumptions!$B$68/12,0),$A28&gt;=ROUNDUP(Assumptions!$B$68/12,0)),Refinance!$B$14,0)+IF(K$24=$A28,Exit!$G21,0),0)</f>
        <v>0</v>
      </c>
      <c r="L28" s="95">
        <f>IF(L$24&lt;=$A28,L$7+IF(AND(Assumptions!$B$67=1,L$24=ROUNDUP(Assumptions!$B$68/12,0),$A28&gt;=ROUNDUP(Assumptions!$B$68/12,0)),Refinance!$B$14,0)+IF(L$24=$A28,Exit!$G21,0),0)</f>
        <v>0</v>
      </c>
      <c r="N28" s="97">
        <f t="shared" si="2"/>
        <v>0.28458014255543396</v>
      </c>
      <c r="O28" s="98">
        <f>IFERROR(SUMIF(C28:L28,"&gt;0")/Acquisition!$B$23,0)</f>
        <v>2.2977755616357949</v>
      </c>
      <c r="P28" s="95">
        <f>SUM(C28:L28)-Acquisition!$B$23</f>
        <v>778795.11453764047</v>
      </c>
    </row>
    <row r="29" spans="1:16" x14ac:dyDescent="0.25">
      <c r="A29" s="139">
        <v>5</v>
      </c>
      <c r="B29" s="95">
        <f>-Acquisition!$B$23</f>
        <v>-600100</v>
      </c>
      <c r="C29" s="95">
        <f>IF(C$24&lt;=$A29,C$7+IF(AND(Assumptions!$B$67=1,C$24=ROUNDUP(Assumptions!$B$68/12,0),$A29&gt;=ROUNDUP(Assumptions!$B$68/12,0)),Refinance!$B$14,0)+IF(C$24=$A29,Exit!$G22,0),0)</f>
        <v>22074.913333333323</v>
      </c>
      <c r="D29" s="95">
        <f>IF(D$24&lt;=$A29,D$7+IF(AND(Assumptions!$B$67=1,D$24=ROUNDUP(Assumptions!$B$68/12,0),$A29&gt;=ROUNDUP(Assumptions!$B$68/12,0)),Refinance!$B$14,0)+IF(D$24=$A29,Exit!$G22,0),0)</f>
        <v>60285.637633333397</v>
      </c>
      <c r="E29" s="95">
        <f>IF(E$24&lt;=$A29,E$7+IF(AND(Assumptions!$B$67=1,E$24=ROUNDUP(Assumptions!$B$68/12,0),$A29&gt;=ROUNDUP(Assumptions!$B$68/12,0)),Refinance!$B$14,0)+IF(E$24=$A29,Exit!$G22,0),0)</f>
        <v>672056.0660397606</v>
      </c>
      <c r="F29" s="95">
        <f>IF(F$24&lt;=$A29,F$7+IF(AND(Assumptions!$B$67=1,F$24=ROUNDUP(Assumptions!$B$68/12,0),$A29&gt;=ROUNDUP(Assumptions!$B$68/12,0)),Refinance!$B$14,0)+IF(F$24=$A29,Exit!$G22,0),0)</f>
        <v>23248.685451384037</v>
      </c>
      <c r="G29" s="95">
        <f>IF(G$24&lt;=$A29,G$7+IF(AND(Assumptions!$B$67=1,G$24=ROUNDUP(Assumptions!$B$68/12,0),$A29&gt;=ROUNDUP(Assumptions!$B$68/12,0)),Refinance!$B$14,0)+IF(G$24=$A29,Exit!$G22,0),0)</f>
        <v>730404.84834105056</v>
      </c>
      <c r="H29" s="95">
        <f>IF(H$24&lt;=$A29,H$7+IF(AND(Assumptions!$B$67=1,H$24=ROUNDUP(Assumptions!$B$68/12,0),$A29&gt;=ROUNDUP(Assumptions!$B$68/12,0)),Refinance!$B$14,0)+IF(H$24=$A29,Exit!$G22,0),0)</f>
        <v>0</v>
      </c>
      <c r="I29" s="95">
        <f>IF(I$24&lt;=$A29,I$7+IF(AND(Assumptions!$B$67=1,I$24=ROUNDUP(Assumptions!$B$68/12,0),$A29&gt;=ROUNDUP(Assumptions!$B$68/12,0)),Refinance!$B$14,0)+IF(I$24=$A29,Exit!$G22,0),0)</f>
        <v>0</v>
      </c>
      <c r="J29" s="95">
        <f>IF(J$24&lt;=$A29,J$7+IF(AND(Assumptions!$B$67=1,J$24=ROUNDUP(Assumptions!$B$68/12,0),$A29&gt;=ROUNDUP(Assumptions!$B$68/12,0)),Refinance!$B$14,0)+IF(J$24=$A29,Exit!$G22,0),0)</f>
        <v>0</v>
      </c>
      <c r="K29" s="95">
        <f>IF(K$24&lt;=$A29,K$7+IF(AND(Assumptions!$B$67=1,K$24=ROUNDUP(Assumptions!$B$68/12,0),$A29&gt;=ROUNDUP(Assumptions!$B$68/12,0)),Refinance!$B$14,0)+IF(K$24=$A29,Exit!$G22,0),0)</f>
        <v>0</v>
      </c>
      <c r="L29" s="95">
        <f>IF(L$24&lt;=$A29,L$7+IF(AND(Assumptions!$B$67=1,L$24=ROUNDUP(Assumptions!$B$68/12,0),$A29&gt;=ROUNDUP(Assumptions!$B$68/12,0)),Refinance!$B$14,0)+IF(L$24=$A29,Exit!$G22,0),0)</f>
        <v>0</v>
      </c>
      <c r="N29" s="97">
        <f t="shared" si="2"/>
        <v>0.27741656061743103</v>
      </c>
      <c r="O29" s="98">
        <f>IFERROR(SUMIF(C29:L29,"&gt;0")/Acquisition!$B$23,0)</f>
        <v>2.5130314127626425</v>
      </c>
      <c r="P29" s="95">
        <f>SUM(C29:L29)-Acquisition!$B$23</f>
        <v>907970.15079886187</v>
      </c>
    </row>
    <row r="30" spans="1:16" x14ac:dyDescent="0.25">
      <c r="A30" s="139">
        <v>6</v>
      </c>
      <c r="B30" s="95">
        <f>-Acquisition!$B$23</f>
        <v>-600100</v>
      </c>
      <c r="C30" s="95">
        <f>IF(C$24&lt;=$A30,C$7+IF(AND(Assumptions!$B$67=1,C$24=ROUNDUP(Assumptions!$B$68/12,0),$A30&gt;=ROUNDUP(Assumptions!$B$68/12,0)),Refinance!$B$14,0)+IF(C$24=$A30,Exit!$G23,0),0)</f>
        <v>22074.913333333323</v>
      </c>
      <c r="D30" s="95">
        <f>IF(D$24&lt;=$A30,D$7+IF(AND(Assumptions!$B$67=1,D$24=ROUNDUP(Assumptions!$B$68/12,0),$A30&gt;=ROUNDUP(Assumptions!$B$68/12,0)),Refinance!$B$14,0)+IF(D$24=$A30,Exit!$G23,0),0)</f>
        <v>60285.637633333397</v>
      </c>
      <c r="E30" s="95">
        <f>IF(E$24&lt;=$A30,E$7+IF(AND(Assumptions!$B$67=1,E$24=ROUNDUP(Assumptions!$B$68/12,0),$A30&gt;=ROUNDUP(Assumptions!$B$68/12,0)),Refinance!$B$14,0)+IF(E$24=$A30,Exit!$G23,0),0)</f>
        <v>672056.0660397606</v>
      </c>
      <c r="F30" s="95">
        <f>IF(F$24&lt;=$A30,F$7+IF(AND(Assumptions!$B$67=1,F$24=ROUNDUP(Assumptions!$B$68/12,0),$A30&gt;=ROUNDUP(Assumptions!$B$68/12,0)),Refinance!$B$14,0)+IF(F$24=$A30,Exit!$G23,0),0)</f>
        <v>23248.685451384037</v>
      </c>
      <c r="G30" s="95">
        <f>IF(G$24&lt;=$A30,G$7+IF(AND(Assumptions!$B$67=1,G$24=ROUNDUP(Assumptions!$B$68/12,0),$A30&gt;=ROUNDUP(Assumptions!$B$68/12,0)),Refinance!$B$14,0)+IF(G$24=$A30,Exit!$G23,0),0)</f>
        <v>28417.117916216623</v>
      </c>
      <c r="H30" s="95">
        <f>IF(H$24&lt;=$A30,H$7+IF(AND(Assumptions!$B$67=1,H$24=ROUNDUP(Assumptions!$B$68/12,0),$A30&gt;=ROUNDUP(Assumptions!$B$68/12,0)),Refinance!$B$14,0)+IF(H$24=$A30,Exit!$G23,0),0)</f>
        <v>840606.45833009947</v>
      </c>
      <c r="I30" s="95">
        <f>IF(I$24&lt;=$A30,I$7+IF(AND(Assumptions!$B$67=1,I$24=ROUNDUP(Assumptions!$B$68/12,0),$A30&gt;=ROUNDUP(Assumptions!$B$68/12,0)),Refinance!$B$14,0)+IF(I$24=$A30,Exit!$G23,0),0)</f>
        <v>0</v>
      </c>
      <c r="J30" s="95">
        <f>IF(J$24&lt;=$A30,J$7+IF(AND(Assumptions!$B$67=1,J$24=ROUNDUP(Assumptions!$B$68/12,0),$A30&gt;=ROUNDUP(Assumptions!$B$68/12,0)),Refinance!$B$14,0)+IF(J$24=$A30,Exit!$G23,0),0)</f>
        <v>0</v>
      </c>
      <c r="K30" s="95">
        <f>IF(K$24&lt;=$A30,K$7+IF(AND(Assumptions!$B$67=1,K$24=ROUNDUP(Assumptions!$B$68/12,0),$A30&gt;=ROUNDUP(Assumptions!$B$68/12,0)),Refinance!$B$14,0)+IF(K$24=$A30,Exit!$G23,0),0)</f>
        <v>0</v>
      </c>
      <c r="L30" s="95">
        <f>IF(L$24&lt;=$A30,L$7+IF(AND(Assumptions!$B$67=1,L$24=ROUNDUP(Assumptions!$B$68/12,0),$A30&gt;=ROUNDUP(Assumptions!$B$68/12,0)),Refinance!$B$14,0)+IF(L$24=$A30,Exit!$G23,0),0)</f>
        <v>0</v>
      </c>
      <c r="N30" s="97">
        <f t="shared" si="2"/>
        <v>0.27033932522049309</v>
      </c>
      <c r="O30" s="98">
        <f>IFERROR(SUMIF(C30:L30,"&gt;0")/Acquisition!$B$23,0)</f>
        <v>2.7440241271523536</v>
      </c>
      <c r="P30" s="95">
        <f>SUM(C30:L30)-Acquisition!$B$23</f>
        <v>1046588.8787041274</v>
      </c>
    </row>
    <row r="31" spans="1:16" x14ac:dyDescent="0.25">
      <c r="A31" s="139">
        <v>7</v>
      </c>
      <c r="B31" s="95">
        <f>-Acquisition!$B$23</f>
        <v>-600100</v>
      </c>
      <c r="C31" s="95">
        <f>IF(C$24&lt;=$A31,C$7+IF(AND(Assumptions!$B$67=1,C$24=ROUNDUP(Assumptions!$B$68/12,0),$A31&gt;=ROUNDUP(Assumptions!$B$68/12,0)),Refinance!$B$14,0)+IF(C$24=$A31,Exit!$G24,0),0)</f>
        <v>22074.913333333323</v>
      </c>
      <c r="D31" s="95">
        <f>IF(D$24&lt;=$A31,D$7+IF(AND(Assumptions!$B$67=1,D$24=ROUNDUP(Assumptions!$B$68/12,0),$A31&gt;=ROUNDUP(Assumptions!$B$68/12,0)),Refinance!$B$14,0)+IF(D$24=$A31,Exit!$G24,0),0)</f>
        <v>60285.637633333397</v>
      </c>
      <c r="E31" s="95">
        <f>IF(E$24&lt;=$A31,E$7+IF(AND(Assumptions!$B$67=1,E$24=ROUNDUP(Assumptions!$B$68/12,0),$A31&gt;=ROUNDUP(Assumptions!$B$68/12,0)),Refinance!$B$14,0)+IF(E$24=$A31,Exit!$G24,0),0)</f>
        <v>672056.0660397606</v>
      </c>
      <c r="F31" s="95">
        <f>IF(F$24&lt;=$A31,F$7+IF(AND(Assumptions!$B$67=1,F$24=ROUNDUP(Assumptions!$B$68/12,0),$A31&gt;=ROUNDUP(Assumptions!$B$68/12,0)),Refinance!$B$14,0)+IF(F$24=$A31,Exit!$G24,0),0)</f>
        <v>23248.685451384037</v>
      </c>
      <c r="G31" s="95">
        <f>IF(G$24&lt;=$A31,G$7+IF(AND(Assumptions!$B$67=1,G$24=ROUNDUP(Assumptions!$B$68/12,0),$A31&gt;=ROUNDUP(Assumptions!$B$68/12,0)),Refinance!$B$14,0)+IF(G$24=$A31,Exit!$G24,0),0)</f>
        <v>28417.117916216623</v>
      </c>
      <c r="H31" s="95">
        <f>IF(H$24&lt;=$A31,H$7+IF(AND(Assumptions!$B$67=1,H$24=ROUNDUP(Assumptions!$B$68/12,0),$A31&gt;=ROUNDUP(Assumptions!$B$68/12,0)),Refinance!$B$14,0)+IF(H$24=$A31,Exit!$G24,0),0)</f>
        <v>33769.708908672459</v>
      </c>
      <c r="I31" s="95">
        <f>IF(I$24&lt;=$A31,I$7+IF(AND(Assumptions!$B$67=1,I$24=ROUNDUP(Assumptions!$B$68/12,0),$A31&gt;=ROUNDUP(Assumptions!$B$68/12,0)),Refinance!$B$14,0)+IF(I$24=$A31,Exit!$G24,0),0)</f>
        <v>955262.34544845147</v>
      </c>
      <c r="J31" s="95">
        <f>IF(J$24&lt;=$A31,J$7+IF(AND(Assumptions!$B$67=1,J$24=ROUNDUP(Assumptions!$B$68/12,0),$A31&gt;=ROUNDUP(Assumptions!$B$68/12,0)),Refinance!$B$14,0)+IF(J$24=$A31,Exit!$G24,0),0)</f>
        <v>0</v>
      </c>
      <c r="K31" s="95">
        <f>IF(K$24&lt;=$A31,K$7+IF(AND(Assumptions!$B$67=1,K$24=ROUNDUP(Assumptions!$B$68/12,0),$A31&gt;=ROUNDUP(Assumptions!$B$68/12,0)),Refinance!$B$14,0)+IF(K$24=$A31,Exit!$G24,0),0)</f>
        <v>0</v>
      </c>
      <c r="L31" s="95">
        <f>IF(L$24&lt;=$A31,L$7+IF(AND(Assumptions!$B$67=1,L$24=ROUNDUP(Assumptions!$B$68/12,0),$A31&gt;=ROUNDUP(Assumptions!$B$68/12,0)),Refinance!$B$14,0)+IF(L$24=$A31,Exit!$G24,0),0)</f>
        <v>0</v>
      </c>
      <c r="N31" s="97">
        <f t="shared" si="2"/>
        <v>0.26369183679454222</v>
      </c>
      <c r="O31" s="98">
        <f>IFERROR(SUMIF(C31:L31,"&gt;0")/Acquisition!$B$23,0)</f>
        <v>2.9913588980689085</v>
      </c>
      <c r="P31" s="95">
        <f>SUM(C31:L31)-Acquisition!$B$23</f>
        <v>1195014.4747311519</v>
      </c>
    </row>
    <row r="32" spans="1:16" x14ac:dyDescent="0.25">
      <c r="A32" s="139">
        <v>8</v>
      </c>
      <c r="B32" s="95">
        <f>-Acquisition!$B$23</f>
        <v>-600100</v>
      </c>
      <c r="C32" s="95">
        <f>IF(C$24&lt;=$A32,C$7+IF(AND(Assumptions!$B$67=1,C$24=ROUNDUP(Assumptions!$B$68/12,0),$A32&gt;=ROUNDUP(Assumptions!$B$68/12,0)),Refinance!$B$14,0)+IF(C$24=$A32,Exit!$G25,0),0)</f>
        <v>22074.913333333323</v>
      </c>
      <c r="D32" s="95">
        <f>IF(D$24&lt;=$A32,D$7+IF(AND(Assumptions!$B$67=1,D$24=ROUNDUP(Assumptions!$B$68/12,0),$A32&gt;=ROUNDUP(Assumptions!$B$68/12,0)),Refinance!$B$14,0)+IF(D$24=$A32,Exit!$G25,0),0)</f>
        <v>60285.637633333397</v>
      </c>
      <c r="E32" s="95">
        <f>IF(E$24&lt;=$A32,E$7+IF(AND(Assumptions!$B$67=1,E$24=ROUNDUP(Assumptions!$B$68/12,0),$A32&gt;=ROUNDUP(Assumptions!$B$68/12,0)),Refinance!$B$14,0)+IF(E$24=$A32,Exit!$G25,0),0)</f>
        <v>672056.0660397606</v>
      </c>
      <c r="F32" s="95">
        <f>IF(F$24&lt;=$A32,F$7+IF(AND(Assumptions!$B$67=1,F$24=ROUNDUP(Assumptions!$B$68/12,0),$A32&gt;=ROUNDUP(Assumptions!$B$68/12,0)),Refinance!$B$14,0)+IF(F$24=$A32,Exit!$G25,0),0)</f>
        <v>23248.685451384037</v>
      </c>
      <c r="G32" s="95">
        <f>IF(G$24&lt;=$A32,G$7+IF(AND(Assumptions!$B$67=1,G$24=ROUNDUP(Assumptions!$B$68/12,0),$A32&gt;=ROUNDUP(Assumptions!$B$68/12,0)),Refinance!$B$14,0)+IF(G$24=$A32,Exit!$G25,0),0)</f>
        <v>28417.117916216623</v>
      </c>
      <c r="H32" s="95">
        <f>IF(H$24&lt;=$A32,H$7+IF(AND(Assumptions!$B$67=1,H$24=ROUNDUP(Assumptions!$B$68/12,0),$A32&gt;=ROUNDUP(Assumptions!$B$68/12,0)),Refinance!$B$14,0)+IF(H$24=$A32,Exit!$G25,0),0)</f>
        <v>33769.708908672459</v>
      </c>
      <c r="I32" s="95">
        <f>IF(I$24&lt;=$A32,I$7+IF(AND(Assumptions!$B$67=1,I$24=ROUNDUP(Assumptions!$B$68/12,0),$A32&gt;=ROUNDUP(Assumptions!$B$68/12,0)),Refinance!$B$14,0)+IF(I$24=$A32,Exit!$G25,0),0)</f>
        <v>39312.710823421992</v>
      </c>
      <c r="J32" s="95">
        <f>IF(J$24&lt;=$A32,J$7+IF(AND(Assumptions!$B$67=1,J$24=ROUNDUP(Assumptions!$B$68/12,0),$A32&gt;=ROUNDUP(Assumptions!$B$68/12,0)),Refinance!$B$14,0)+IF(J$24=$A32,Exit!$G25,0),0)</f>
        <v>1074559.6057289406</v>
      </c>
      <c r="K32" s="95">
        <f>IF(K$24&lt;=$A32,K$7+IF(AND(Assumptions!$B$67=1,K$24=ROUNDUP(Assumptions!$B$68/12,0),$A32&gt;=ROUNDUP(Assumptions!$B$68/12,0)),Refinance!$B$14,0)+IF(K$24=$A32,Exit!$G25,0),0)</f>
        <v>0</v>
      </c>
      <c r="L32" s="95">
        <f>IF(L$24&lt;=$A32,L$7+IF(AND(Assumptions!$B$67=1,L$24=ROUNDUP(Assumptions!$B$68/12,0),$A32&gt;=ROUNDUP(Assumptions!$B$68/12,0)),Refinance!$B$14,0)+IF(L$24=$A32,Exit!$G25,0),0)</f>
        <v>0</v>
      </c>
      <c r="N32" s="97">
        <f t="shared" si="2"/>
        <v>0.25758923667805944</v>
      </c>
      <c r="O32" s="98">
        <f>IFERROR(SUMIF(C32:L32,"&gt;0")/Acquisition!$B$23,0)</f>
        <v>3.255664798925284</v>
      </c>
      <c r="P32" s="95">
        <f>SUM(C32:L32)-Acquisition!$B$23</f>
        <v>1353624.445835063</v>
      </c>
    </row>
    <row r="33" spans="1:16" x14ac:dyDescent="0.25">
      <c r="A33" s="139">
        <v>9</v>
      </c>
      <c r="B33" s="95">
        <f>-Acquisition!$B$23</f>
        <v>-600100</v>
      </c>
      <c r="C33" s="95">
        <f>IF(C$24&lt;=$A33,C$7+IF(AND(Assumptions!$B$67=1,C$24=ROUNDUP(Assumptions!$B$68/12,0),$A33&gt;=ROUNDUP(Assumptions!$B$68/12,0)),Refinance!$B$14,0)+IF(C$24=$A33,Exit!$G26,0),0)</f>
        <v>22074.913333333323</v>
      </c>
      <c r="D33" s="95">
        <f>IF(D$24&lt;=$A33,D$7+IF(AND(Assumptions!$B$67=1,D$24=ROUNDUP(Assumptions!$B$68/12,0),$A33&gt;=ROUNDUP(Assumptions!$B$68/12,0)),Refinance!$B$14,0)+IF(D$24=$A33,Exit!$G26,0),0)</f>
        <v>60285.637633333397</v>
      </c>
      <c r="E33" s="95">
        <f>IF(E$24&lt;=$A33,E$7+IF(AND(Assumptions!$B$67=1,E$24=ROUNDUP(Assumptions!$B$68/12,0),$A33&gt;=ROUNDUP(Assumptions!$B$68/12,0)),Refinance!$B$14,0)+IF(E$24=$A33,Exit!$G26,0),0)</f>
        <v>672056.0660397606</v>
      </c>
      <c r="F33" s="95">
        <f>IF(F$24&lt;=$A33,F$7+IF(AND(Assumptions!$B$67=1,F$24=ROUNDUP(Assumptions!$B$68/12,0),$A33&gt;=ROUNDUP(Assumptions!$B$68/12,0)),Refinance!$B$14,0)+IF(F$24=$A33,Exit!$G26,0),0)</f>
        <v>23248.685451384037</v>
      </c>
      <c r="G33" s="95">
        <f>IF(G$24&lt;=$A33,G$7+IF(AND(Assumptions!$B$67=1,G$24=ROUNDUP(Assumptions!$B$68/12,0),$A33&gt;=ROUNDUP(Assumptions!$B$68/12,0)),Refinance!$B$14,0)+IF(G$24=$A33,Exit!$G26,0),0)</f>
        <v>28417.117916216623</v>
      </c>
      <c r="H33" s="95">
        <f>IF(H$24&lt;=$A33,H$7+IF(AND(Assumptions!$B$67=1,H$24=ROUNDUP(Assumptions!$B$68/12,0),$A33&gt;=ROUNDUP(Assumptions!$B$68/12,0)),Refinance!$B$14,0)+IF(H$24=$A33,Exit!$G26,0),0)</f>
        <v>33769.708908672459</v>
      </c>
      <c r="I33" s="95">
        <f>IF(I$24&lt;=$A33,I$7+IF(AND(Assumptions!$B$67=1,I$24=ROUNDUP(Assumptions!$B$68/12,0),$A33&gt;=ROUNDUP(Assumptions!$B$68/12,0)),Refinance!$B$14,0)+IF(I$24=$A33,Exit!$G26,0),0)</f>
        <v>39312.710823421992</v>
      </c>
      <c r="J33" s="95">
        <f>IF(J$24&lt;=$A33,J$7+IF(AND(Assumptions!$B$67=1,J$24=ROUNDUP(Assumptions!$B$68/12,0),$A33&gt;=ROUNDUP(Assumptions!$B$68/12,0)),Refinance!$B$14,0)+IF(J$24=$A33,Exit!$G26,0),0)</f>
        <v>45052.581817946964</v>
      </c>
      <c r="K33" s="95">
        <f>IF(K$24&lt;=$A33,K$7+IF(AND(Assumptions!$B$67=1,K$24=ROUNDUP(Assumptions!$B$68/12,0),$A33&gt;=ROUNDUP(Assumptions!$B$68/12,0)),Refinance!$B$14,0)+IF(K$24=$A33,Exit!$G26,0),0)</f>
        <v>1198693.8120442366</v>
      </c>
      <c r="L33" s="95">
        <f>IF(L$24&lt;=$A33,L$7+IF(AND(Assumptions!$B$67=1,L$24=ROUNDUP(Assumptions!$B$68/12,0),$A33&gt;=ROUNDUP(Assumptions!$B$68/12,0)),Refinance!$B$14,0)+IF(L$24=$A33,Exit!$G26,0),0)</f>
        <v>0</v>
      </c>
      <c r="N33" s="97">
        <f t="shared" si="2"/>
        <v>0.25204830424312918</v>
      </c>
      <c r="O33" s="98">
        <f>IFERROR(SUMIF(C33:L33,"&gt;0")/Acquisition!$B$23,0)</f>
        <v>3.537595790648735</v>
      </c>
      <c r="P33" s="95">
        <f>SUM(C33:L33)-Acquisition!$B$23</f>
        <v>1522811.2339683059</v>
      </c>
    </row>
    <row r="34" spans="1:16" x14ac:dyDescent="0.25">
      <c r="A34" s="139">
        <v>10</v>
      </c>
      <c r="B34" s="95">
        <f>-Acquisition!$B$23</f>
        <v>-600100</v>
      </c>
      <c r="C34" s="95">
        <f>IF(C$24&lt;=$A34,C$7+IF(AND(Assumptions!$B$67=1,C$24=ROUNDUP(Assumptions!$B$68/12,0),$A34&gt;=ROUNDUP(Assumptions!$B$68/12,0)),Refinance!$B$14,0)+IF(C$24=$A34,Exit!$G27,0),0)</f>
        <v>22074.913333333323</v>
      </c>
      <c r="D34" s="95">
        <f>IF(D$24&lt;=$A34,D$7+IF(AND(Assumptions!$B$67=1,D$24=ROUNDUP(Assumptions!$B$68/12,0),$A34&gt;=ROUNDUP(Assumptions!$B$68/12,0)),Refinance!$B$14,0)+IF(D$24=$A34,Exit!$G27,0),0)</f>
        <v>60285.637633333397</v>
      </c>
      <c r="E34" s="95">
        <f>IF(E$24&lt;=$A34,E$7+IF(AND(Assumptions!$B$67=1,E$24=ROUNDUP(Assumptions!$B$68/12,0),$A34&gt;=ROUNDUP(Assumptions!$B$68/12,0)),Refinance!$B$14,0)+IF(E$24=$A34,Exit!$G27,0),0)</f>
        <v>672056.0660397606</v>
      </c>
      <c r="F34" s="95">
        <f>IF(F$24&lt;=$A34,F$7+IF(AND(Assumptions!$B$67=1,F$24=ROUNDUP(Assumptions!$B$68/12,0),$A34&gt;=ROUNDUP(Assumptions!$B$68/12,0)),Refinance!$B$14,0)+IF(F$24=$A34,Exit!$G27,0),0)</f>
        <v>23248.685451384037</v>
      </c>
      <c r="G34" s="95">
        <f>IF(G$24&lt;=$A34,G$7+IF(AND(Assumptions!$B$67=1,G$24=ROUNDUP(Assumptions!$B$68/12,0),$A34&gt;=ROUNDUP(Assumptions!$B$68/12,0)),Refinance!$B$14,0)+IF(G$24=$A34,Exit!$G27,0),0)</f>
        <v>28417.117916216623</v>
      </c>
      <c r="H34" s="95">
        <f>IF(H$24&lt;=$A34,H$7+IF(AND(Assumptions!$B$67=1,H$24=ROUNDUP(Assumptions!$B$68/12,0),$A34&gt;=ROUNDUP(Assumptions!$B$68/12,0)),Refinance!$B$14,0)+IF(H$24=$A34,Exit!$G27,0),0)</f>
        <v>33769.708908672459</v>
      </c>
      <c r="I34" s="95">
        <f>IF(I$24&lt;=$A34,I$7+IF(AND(Assumptions!$B$67=1,I$24=ROUNDUP(Assumptions!$B$68/12,0),$A34&gt;=ROUNDUP(Assumptions!$B$68/12,0)),Refinance!$B$14,0)+IF(I$24=$A34,Exit!$G27,0),0)</f>
        <v>39312.710823421992</v>
      </c>
      <c r="J34" s="95">
        <f>IF(J$24&lt;=$A34,J$7+IF(AND(Assumptions!$B$67=1,J$24=ROUNDUP(Assumptions!$B$68/12,0),$A34&gt;=ROUNDUP(Assumptions!$B$68/12,0)),Refinance!$B$14,0)+IF(J$24=$A34,Exit!$G27,0),0)</f>
        <v>45052.581817946964</v>
      </c>
      <c r="K34" s="95">
        <f>IF(K$24&lt;=$A34,K$7+IF(AND(Assumptions!$B$67=1,K$24=ROUNDUP(Assumptions!$B$68/12,0),$A34&gt;=ROUNDUP(Assumptions!$B$68/12,0)),Refinance!$B$14,0)+IF(K$24=$A34,Exit!$G27,0),0)</f>
        <v>50995.992440198999</v>
      </c>
      <c r="L34" s="95">
        <f>IF(L$24&lt;=$A34,L$7+IF(AND(Assumptions!$B$67=1,L$24=ROUNDUP(Assumptions!$B$68/12,0),$A34&gt;=ROUNDUP(Assumptions!$B$68/12,0)),Refinance!$B$14,0)+IF(L$24=$A34,Exit!$G27,0),0)</f>
        <v>1231924.4970547569</v>
      </c>
      <c r="N34" s="97">
        <f t="shared" si="2"/>
        <v>0.2424330949026694</v>
      </c>
      <c r="O34" s="98">
        <f>IFERROR(SUMIF(C34:L34,"&gt;0")/Acquisition!$B$23,0)</f>
        <v>3.6779501939993753</v>
      </c>
      <c r="P34" s="95">
        <f>SUM(C34:L34)-Acquisition!$B$23</f>
        <v>1607037.9114190252</v>
      </c>
    </row>
  </sheetData>
  <mergeCells count="4">
    <mergeCell ref="A1:L1"/>
    <mergeCell ref="A2:L2"/>
    <mergeCell ref="A14:B14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tabSelected="1" zoomScaleNormal="100" workbookViewId="0">
      <selection activeCell="E14" sqref="E14"/>
    </sheetView>
  </sheetViews>
  <sheetFormatPr defaultColWidth="8.7109375" defaultRowHeight="15" x14ac:dyDescent="0.25"/>
  <cols>
    <col min="1" max="1" width="34" customWidth="1"/>
    <col min="2" max="12" width="12" customWidth="1"/>
    <col min="13" max="13" width="10.5703125" bestFit="1" customWidth="1"/>
  </cols>
  <sheetData>
    <row r="1" spans="1:14" ht="24" customHeight="1" x14ac:dyDescent="0.25">
      <c r="A1" s="141" t="s">
        <v>406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4" ht="13.5" customHeight="1" x14ac:dyDescent="0.25">
      <c r="A2" s="142" t="s">
        <v>407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4" x14ac:dyDescent="0.25">
      <c r="A4" s="86" t="s">
        <v>389</v>
      </c>
      <c r="B4" s="49" t="s">
        <v>390</v>
      </c>
      <c r="C4" s="49" t="s">
        <v>254</v>
      </c>
      <c r="D4" s="49" t="s">
        <v>255</v>
      </c>
      <c r="E4" s="49" t="s">
        <v>256</v>
      </c>
      <c r="F4" s="49" t="s">
        <v>257</v>
      </c>
      <c r="G4" s="49" t="s">
        <v>258</v>
      </c>
      <c r="H4" s="49" t="s">
        <v>259</v>
      </c>
      <c r="I4" s="49" t="s">
        <v>260</v>
      </c>
      <c r="J4" s="49" t="s">
        <v>261</v>
      </c>
      <c r="K4" s="49" t="s">
        <v>262</v>
      </c>
      <c r="L4" s="49" t="s">
        <v>263</v>
      </c>
    </row>
    <row r="5" spans="1:14" x14ac:dyDescent="0.25">
      <c r="A5" s="1" t="s">
        <v>408</v>
      </c>
      <c r="B5" s="88">
        <f>-'Equity Returns'!B11</f>
        <v>600100</v>
      </c>
      <c r="C5" s="88">
        <f>MAX(0,'Equity Returns'!C11)</f>
        <v>22074.913333333323</v>
      </c>
      <c r="D5" s="88">
        <f>MAX(0,'Equity Returns'!D11)</f>
        <v>60285.637633333397</v>
      </c>
      <c r="E5" s="88">
        <f>MAX(0,'Equity Returns'!E11)</f>
        <v>672056.0660397606</v>
      </c>
      <c r="F5" s="88">
        <f>MAX(0,'Equity Returns'!F11)</f>
        <v>23248.685451384037</v>
      </c>
      <c r="G5" s="88">
        <f>MAX(0,'Equity Returns'!G11)</f>
        <v>730404.84834105056</v>
      </c>
      <c r="H5" s="88">
        <f>MAX(0,'Equity Returns'!H11)</f>
        <v>0</v>
      </c>
      <c r="I5" s="88">
        <f>MAX(0,'Equity Returns'!I11)</f>
        <v>0</v>
      </c>
      <c r="J5" s="88">
        <f>MAX(0,'Equity Returns'!J11)</f>
        <v>0</v>
      </c>
      <c r="K5" s="88">
        <f>MAX(0,'Equity Returns'!K11)</f>
        <v>0</v>
      </c>
      <c r="L5" s="88">
        <f>MAX(0,'Equity Returns'!L11)</f>
        <v>0</v>
      </c>
    </row>
    <row r="6" spans="1:14" x14ac:dyDescent="0.25">
      <c r="A6" s="1" t="s">
        <v>409</v>
      </c>
      <c r="B6" s="64">
        <v>0</v>
      </c>
      <c r="C6" s="64">
        <f>Assumptions!$B$82*B10</f>
        <v>48008</v>
      </c>
      <c r="D6" s="64">
        <f>Assumptions!$B$82*C10</f>
        <v>48008</v>
      </c>
      <c r="E6" s="64">
        <f>Assumptions!$B$82*D10</f>
        <v>48008</v>
      </c>
      <c r="F6" s="64">
        <f>Assumptions!$B$82*E10</f>
        <v>0</v>
      </c>
      <c r="G6" s="64">
        <f>Assumptions!$B$82*F10</f>
        <v>0</v>
      </c>
      <c r="H6" s="64">
        <f>Assumptions!$B$82*G10</f>
        <v>0</v>
      </c>
      <c r="I6" s="64">
        <f>Assumptions!$B$82*H10</f>
        <v>0</v>
      </c>
      <c r="J6" s="64">
        <f>Assumptions!$B$82*I10</f>
        <v>0</v>
      </c>
      <c r="K6" s="64">
        <f>Assumptions!$B$82*J10</f>
        <v>0</v>
      </c>
      <c r="L6" s="64">
        <f>Assumptions!$B$82*K10</f>
        <v>0</v>
      </c>
    </row>
    <row r="7" spans="1:14" x14ac:dyDescent="0.25">
      <c r="A7" s="1" t="s">
        <v>410</v>
      </c>
      <c r="B7" s="64">
        <v>0</v>
      </c>
      <c r="C7" s="64">
        <f>(B7+C6)-C8</f>
        <v>25933.086666666677</v>
      </c>
      <c r="D7" s="64">
        <f t="shared" ref="C7:L7" si="0">(C7+D6)-D8</f>
        <v>13655.449033333272</v>
      </c>
      <c r="E7" s="64">
        <f t="shared" si="0"/>
        <v>0</v>
      </c>
      <c r="F7" s="64">
        <f t="shared" si="0"/>
        <v>0</v>
      </c>
      <c r="G7" s="64">
        <f t="shared" si="0"/>
        <v>0</v>
      </c>
      <c r="H7" s="64">
        <f t="shared" si="0"/>
        <v>0</v>
      </c>
      <c r="I7" s="64">
        <f t="shared" si="0"/>
        <v>0</v>
      </c>
      <c r="J7" s="64">
        <f t="shared" si="0"/>
        <v>0</v>
      </c>
      <c r="K7" s="64">
        <f t="shared" si="0"/>
        <v>0</v>
      </c>
      <c r="L7" s="64">
        <f t="shared" si="0"/>
        <v>0</v>
      </c>
    </row>
    <row r="8" spans="1:14" x14ac:dyDescent="0.25">
      <c r="A8" s="51" t="s">
        <v>411</v>
      </c>
      <c r="B8" s="64">
        <v>0</v>
      </c>
      <c r="C8" s="64">
        <f>MIN(C5,(B7+C6))</f>
        <v>22074.913333333323</v>
      </c>
      <c r="D8" s="64">
        <f>MIN(D5,(C7+D6))</f>
        <v>60285.637633333397</v>
      </c>
      <c r="E8" s="64">
        <f t="shared" ref="E8:L8" si="1">MIN(E5,(D7+E6))</f>
        <v>61663.449033333272</v>
      </c>
      <c r="F8" s="64">
        <f t="shared" si="1"/>
        <v>0</v>
      </c>
      <c r="G8" s="64">
        <f t="shared" si="1"/>
        <v>0</v>
      </c>
      <c r="H8" s="64">
        <f t="shared" si="1"/>
        <v>0</v>
      </c>
      <c r="I8" s="64">
        <f t="shared" si="1"/>
        <v>0</v>
      </c>
      <c r="J8" s="64">
        <f t="shared" si="1"/>
        <v>0</v>
      </c>
      <c r="K8" s="64">
        <f t="shared" si="1"/>
        <v>0</v>
      </c>
      <c r="L8" s="64">
        <f t="shared" si="1"/>
        <v>0</v>
      </c>
    </row>
    <row r="9" spans="1:14" x14ac:dyDescent="0.25">
      <c r="A9" s="51" t="s">
        <v>412</v>
      </c>
      <c r="B9" s="64">
        <v>0</v>
      </c>
      <c r="C9" s="64">
        <f>MIN((C5-C8),B10)</f>
        <v>0</v>
      </c>
      <c r="D9" s="64">
        <f t="shared" ref="D9:L9" si="2">MIN((D5-D8),C10)</f>
        <v>0</v>
      </c>
      <c r="E9" s="64">
        <f>MIN((E5-E8),D10)</f>
        <v>600100</v>
      </c>
      <c r="F9" s="64">
        <f t="shared" si="2"/>
        <v>0</v>
      </c>
      <c r="G9" s="64">
        <f t="shared" si="2"/>
        <v>0</v>
      </c>
      <c r="H9" s="64">
        <f t="shared" si="2"/>
        <v>0</v>
      </c>
      <c r="I9" s="64">
        <f t="shared" si="2"/>
        <v>0</v>
      </c>
      <c r="J9" s="64">
        <f t="shared" si="2"/>
        <v>0</v>
      </c>
      <c r="K9" s="64">
        <f t="shared" si="2"/>
        <v>0</v>
      </c>
      <c r="L9" s="64">
        <f t="shared" si="2"/>
        <v>0</v>
      </c>
    </row>
    <row r="10" spans="1:14" x14ac:dyDescent="0.25">
      <c r="A10" s="1" t="s">
        <v>413</v>
      </c>
      <c r="B10" s="64">
        <f>B5</f>
        <v>600100</v>
      </c>
      <c r="C10" s="64">
        <f t="shared" ref="C10:L10" si="3">B10-C9</f>
        <v>600100</v>
      </c>
      <c r="D10" s="64">
        <f t="shared" si="3"/>
        <v>600100</v>
      </c>
      <c r="E10" s="64">
        <f t="shared" si="3"/>
        <v>0</v>
      </c>
      <c r="F10" s="64">
        <f t="shared" si="3"/>
        <v>0</v>
      </c>
      <c r="G10" s="64">
        <f t="shared" si="3"/>
        <v>0</v>
      </c>
      <c r="H10" s="64">
        <f t="shared" si="3"/>
        <v>0</v>
      </c>
      <c r="I10" s="64">
        <f t="shared" si="3"/>
        <v>0</v>
      </c>
      <c r="J10" s="64">
        <f t="shared" si="3"/>
        <v>0</v>
      </c>
      <c r="K10" s="64">
        <f t="shared" si="3"/>
        <v>0</v>
      </c>
      <c r="L10" s="64">
        <f t="shared" si="3"/>
        <v>0</v>
      </c>
    </row>
    <row r="11" spans="1:14" x14ac:dyDescent="0.25">
      <c r="A11" s="1" t="s">
        <v>414</v>
      </c>
      <c r="B11" s="64">
        <v>0</v>
      </c>
      <c r="C11" s="64">
        <f>B11+C8</f>
        <v>22074.913333333323</v>
      </c>
      <c r="D11" s="64">
        <f t="shared" ref="D11:L11" si="4">C11+D8</f>
        <v>82360.55096666672</v>
      </c>
      <c r="E11" s="64">
        <f>D11+E8</f>
        <v>144024</v>
      </c>
      <c r="F11" s="64">
        <f t="shared" si="4"/>
        <v>144024</v>
      </c>
      <c r="G11" s="64">
        <f t="shared" si="4"/>
        <v>144024</v>
      </c>
      <c r="H11" s="64">
        <f t="shared" si="4"/>
        <v>144024</v>
      </c>
      <c r="I11" s="64">
        <f t="shared" si="4"/>
        <v>144024</v>
      </c>
      <c r="J11" s="64">
        <f t="shared" si="4"/>
        <v>144024</v>
      </c>
      <c r="K11" s="64">
        <f t="shared" si="4"/>
        <v>144024</v>
      </c>
      <c r="L11" s="64">
        <f t="shared" si="4"/>
        <v>144024</v>
      </c>
    </row>
    <row r="12" spans="1:14" x14ac:dyDescent="0.25">
      <c r="A12" s="51" t="s">
        <v>415</v>
      </c>
      <c r="B12" s="64">
        <v>0</v>
      </c>
      <c r="C12" s="64">
        <f>MIN(((C5-C8)-C9),Assumptions!$B$83*MAX(0,(Assumptions!$B$84/(1-Assumptions!$B$84))*C11-B13))</f>
        <v>0</v>
      </c>
      <c r="D12" s="64">
        <f>MIN(((D5-D8)-D9),Assumptions!$B$83*MAX(0,(Assumptions!$B$84/(1-Assumptions!$B$84))*D11-C13))</f>
        <v>0</v>
      </c>
      <c r="E12" s="64">
        <f>MIN(((E5-E8)-E9),Assumptions!$B$83*MAX(0,(Assumptions!$B$84/(1-Assumptions!$B$84))*E11-D13))</f>
        <v>10292.617006427376</v>
      </c>
      <c r="F12" s="64">
        <f>MIN(((F5-F8)-F9),Assumptions!$B$83*MAX(0,(Assumptions!$B$84/(1-Assumptions!$B$84))*F11-E13))</f>
        <v>23248.685451384037</v>
      </c>
      <c r="G12" s="64">
        <f>MIN(((G5-G8)-G9),Assumptions!$B$83*MAX(0,(Assumptions!$B$84/(1-Assumptions!$B$84))*G11-F13))</f>
        <v>2464.6975421885872</v>
      </c>
      <c r="H12" s="64">
        <f>MIN(((H5-H8)-H9),Assumptions!$B$83*MAX(0,(Assumptions!$B$84/(1-Assumptions!$B$84))*H11-G13))</f>
        <v>0</v>
      </c>
      <c r="I12" s="64">
        <f>MIN(((I5-I8)-I9),Assumptions!$B$83*MAX(0,(Assumptions!$B$84/(1-Assumptions!$B$84))*I11-H13))</f>
        <v>0</v>
      </c>
      <c r="J12" s="64">
        <f>MIN(((J5-J8)-J9),Assumptions!$B$83*MAX(0,(Assumptions!$B$84/(1-Assumptions!$B$84))*J11-I13))</f>
        <v>0</v>
      </c>
      <c r="K12" s="64">
        <f>MIN(((K5-K8)-K9),Assumptions!$B$83*MAX(0,(Assumptions!$B$84/(1-Assumptions!$B$84))*K11-J13))</f>
        <v>0</v>
      </c>
      <c r="L12" s="64">
        <f>MIN(((L5-L8)-L9),Assumptions!$B$83*MAX(0,(Assumptions!$B$84/(1-Assumptions!$B$84))*L11-K13))</f>
        <v>0</v>
      </c>
    </row>
    <row r="13" spans="1:14" x14ac:dyDescent="0.25">
      <c r="A13" s="1" t="s">
        <v>416</v>
      </c>
      <c r="B13" s="64">
        <v>0</v>
      </c>
      <c r="C13" s="64">
        <f t="shared" ref="C13:L13" si="5">B13+C12</f>
        <v>0</v>
      </c>
      <c r="D13" s="64">
        <f t="shared" si="5"/>
        <v>0</v>
      </c>
      <c r="E13" s="64">
        <f t="shared" si="5"/>
        <v>10292.617006427376</v>
      </c>
      <c r="F13" s="64">
        <f t="shared" si="5"/>
        <v>33541.302457811413</v>
      </c>
      <c r="G13" s="64">
        <f t="shared" si="5"/>
        <v>36006</v>
      </c>
      <c r="H13" s="64">
        <f t="shared" si="5"/>
        <v>36006</v>
      </c>
      <c r="I13" s="64">
        <f t="shared" si="5"/>
        <v>36006</v>
      </c>
      <c r="J13" s="64">
        <f t="shared" si="5"/>
        <v>36006</v>
      </c>
      <c r="K13" s="64">
        <f t="shared" si="5"/>
        <v>36006</v>
      </c>
      <c r="L13" s="64">
        <f t="shared" si="5"/>
        <v>36006</v>
      </c>
      <c r="N13" s="64">
        <f>144024+36006</f>
        <v>180030</v>
      </c>
    </row>
    <row r="14" spans="1:14" x14ac:dyDescent="0.25">
      <c r="A14" s="51" t="s">
        <v>417</v>
      </c>
      <c r="B14" s="64">
        <v>0</v>
      </c>
      <c r="C14" s="64">
        <f t="shared" ref="C14:L14" si="6">(((C5-C8)-C9)-C12)</f>
        <v>0</v>
      </c>
      <c r="D14" s="64">
        <f t="shared" si="6"/>
        <v>0</v>
      </c>
      <c r="E14" s="64">
        <f t="shared" si="6"/>
        <v>0</v>
      </c>
      <c r="F14" s="64">
        <f t="shared" si="6"/>
        <v>0</v>
      </c>
      <c r="G14" s="64">
        <f t="shared" si="6"/>
        <v>727940.15079886199</v>
      </c>
      <c r="H14" s="64">
        <f t="shared" si="6"/>
        <v>0</v>
      </c>
      <c r="I14" s="64">
        <f t="shared" si="6"/>
        <v>0</v>
      </c>
      <c r="J14" s="64">
        <f t="shared" si="6"/>
        <v>0</v>
      </c>
      <c r="K14" s="64">
        <f t="shared" si="6"/>
        <v>0</v>
      </c>
      <c r="L14" s="64">
        <f t="shared" si="6"/>
        <v>0</v>
      </c>
      <c r="M14" s="130">
        <v>36006</v>
      </c>
      <c r="N14" s="128">
        <f>J13/N13</f>
        <v>0.2</v>
      </c>
    </row>
    <row r="15" spans="1:14" x14ac:dyDescent="0.25">
      <c r="A15" s="74" t="s">
        <v>418</v>
      </c>
      <c r="M15" s="130">
        <v>144024</v>
      </c>
      <c r="N15" s="129">
        <f>L11/N13</f>
        <v>0.8</v>
      </c>
    </row>
    <row r="16" spans="1:14" x14ac:dyDescent="0.25">
      <c r="A16" s="14" t="s">
        <v>419</v>
      </c>
      <c r="B16" s="67">
        <v>0</v>
      </c>
      <c r="C16" s="67">
        <f>Assumptions!$B$80*(C8+C9)+(1-Assumptions!$B$84)*C14</f>
        <v>19867.421999999991</v>
      </c>
      <c r="D16" s="67">
        <f>Assumptions!$B$80*(D8+D9)+(1-Assumptions!$B$84)*D14</f>
        <v>54257.073870000058</v>
      </c>
      <c r="E16" s="67">
        <f>Assumptions!$B$80*(E8+E9)+(1-Assumptions!$B$84)*E14</f>
        <v>595587.10412999988</v>
      </c>
      <c r="F16" s="67">
        <f>Assumptions!$B$80*(F8+F9)+(1-Assumptions!$B$84)*F14</f>
        <v>0</v>
      </c>
      <c r="G16" s="67">
        <f>Assumptions!$B$80*(G8+G9)+(1-Assumptions!$B$84)*G14</f>
        <v>582352.12063908961</v>
      </c>
      <c r="H16" s="67">
        <f>Assumptions!$B$80*(H8+H9)+(1-Assumptions!$B$84)*H14</f>
        <v>0</v>
      </c>
      <c r="I16" s="67">
        <f>Assumptions!$B$80*(I8+I9)+(1-Assumptions!$B$84)*I14</f>
        <v>0</v>
      </c>
      <c r="J16" s="67">
        <f>Assumptions!$B$80*(J8+J9)+(1-Assumptions!$B$84)*J14</f>
        <v>0</v>
      </c>
      <c r="K16" s="67">
        <f>Assumptions!$B$80*(K8+K9)+(1-Assumptions!$B$84)*K14</f>
        <v>0</v>
      </c>
      <c r="L16" s="67">
        <f>Assumptions!$B$80*(L8+L9)+(1-Assumptions!$B$84)*L14</f>
        <v>0</v>
      </c>
      <c r="M16" s="131">
        <f>SUM(M14:M15)</f>
        <v>180030</v>
      </c>
    </row>
    <row r="17" spans="1:12" x14ac:dyDescent="0.25">
      <c r="A17" s="14" t="s">
        <v>420</v>
      </c>
      <c r="B17" s="67">
        <v>0</v>
      </c>
      <c r="C17" s="67">
        <f>Assumptions!$B$81*(C8+C9)+C12+Assumptions!$B$84*C14</f>
        <v>2207.4913333333325</v>
      </c>
      <c r="D17" s="67">
        <f>Assumptions!$B$81*(D8+D9)+D12+Assumptions!$B$84*D14</f>
        <v>6028.5637633333399</v>
      </c>
      <c r="E17" s="67">
        <f>Assumptions!$B$81*(E8+E9)+E12+Assumptions!$B$84*E14</f>
        <v>76468.961909760706</v>
      </c>
      <c r="F17" s="67">
        <f>Assumptions!$B$81*(F8+F9)+F12+Assumptions!$B$84*F14</f>
        <v>23248.685451384037</v>
      </c>
      <c r="G17" s="67">
        <f>Assumptions!$B$81*(G8+G9)+G12+Assumptions!$B$84*G14</f>
        <v>148052.727701961</v>
      </c>
      <c r="H17" s="67">
        <f>Assumptions!$B$81*(H8+H9)+H12+Assumptions!$B$84*H14</f>
        <v>0</v>
      </c>
      <c r="I17" s="67">
        <f>Assumptions!$B$81*(I8+I9)+I12+Assumptions!$B$84*I14</f>
        <v>0</v>
      </c>
      <c r="J17" s="67">
        <f>Assumptions!$B$81*(J8+J9)+J12+Assumptions!$B$84*J14</f>
        <v>0</v>
      </c>
      <c r="K17" s="67">
        <f>Assumptions!$B$81*(K8+K9)+K12+Assumptions!$B$84*K14</f>
        <v>0</v>
      </c>
      <c r="L17" s="67">
        <f>Assumptions!$B$81*(L8+L9)+L12+Assumptions!$B$84*L14</f>
        <v>0</v>
      </c>
    </row>
    <row r="18" spans="1:12" x14ac:dyDescent="0.25">
      <c r="A18" s="74" t="s">
        <v>421</v>
      </c>
    </row>
    <row r="19" spans="1:12" x14ac:dyDescent="0.25">
      <c r="A19" s="14" t="s">
        <v>422</v>
      </c>
      <c r="B19" s="65">
        <f>-Assumptions!$B$80*B10</f>
        <v>-540090</v>
      </c>
      <c r="C19" s="65">
        <f t="shared" ref="C19:L19" si="7">C16</f>
        <v>19867.421999999991</v>
      </c>
      <c r="D19" s="65">
        <f t="shared" si="7"/>
        <v>54257.073870000058</v>
      </c>
      <c r="E19" s="65">
        <f t="shared" si="7"/>
        <v>595587.10412999988</v>
      </c>
      <c r="F19" s="65">
        <f t="shared" si="7"/>
        <v>0</v>
      </c>
      <c r="G19" s="65">
        <f t="shared" si="7"/>
        <v>582352.12063908961</v>
      </c>
      <c r="H19" s="65">
        <f t="shared" si="7"/>
        <v>0</v>
      </c>
      <c r="I19" s="65">
        <f t="shared" si="7"/>
        <v>0</v>
      </c>
      <c r="J19" s="65">
        <f t="shared" si="7"/>
        <v>0</v>
      </c>
      <c r="K19" s="65">
        <f t="shared" si="7"/>
        <v>0</v>
      </c>
      <c r="L19" s="65">
        <f t="shared" si="7"/>
        <v>0</v>
      </c>
    </row>
    <row r="20" spans="1:12" x14ac:dyDescent="0.25">
      <c r="A20" s="14" t="s">
        <v>423</v>
      </c>
      <c r="B20" s="65">
        <f>-Assumptions!$B$81*B10</f>
        <v>-60010</v>
      </c>
      <c r="C20" s="65">
        <f t="shared" ref="C20:L20" si="8">C17</f>
        <v>2207.4913333333325</v>
      </c>
      <c r="D20" s="65">
        <f t="shared" si="8"/>
        <v>6028.5637633333399</v>
      </c>
      <c r="E20" s="65">
        <f t="shared" si="8"/>
        <v>76468.961909760706</v>
      </c>
      <c r="F20" s="65">
        <f t="shared" si="8"/>
        <v>23248.685451384037</v>
      </c>
      <c r="G20" s="65">
        <f t="shared" si="8"/>
        <v>148052.727701961</v>
      </c>
      <c r="H20" s="65">
        <f t="shared" si="8"/>
        <v>0</v>
      </c>
      <c r="I20" s="65">
        <f t="shared" si="8"/>
        <v>0</v>
      </c>
      <c r="J20" s="65">
        <f t="shared" si="8"/>
        <v>0</v>
      </c>
      <c r="K20" s="65">
        <f t="shared" si="8"/>
        <v>0</v>
      </c>
      <c r="L20" s="65">
        <f t="shared" si="8"/>
        <v>0</v>
      </c>
    </row>
    <row r="22" spans="1:12" x14ac:dyDescent="0.25">
      <c r="A22" s="66" t="s">
        <v>424</v>
      </c>
      <c r="B22" s="99" t="s">
        <v>425</v>
      </c>
      <c r="C22" s="99" t="s">
        <v>426</v>
      </c>
    </row>
    <row r="23" spans="1:12" x14ac:dyDescent="0.25">
      <c r="A23" s="14" t="s">
        <v>384</v>
      </c>
      <c r="B23" s="81">
        <f>IFERROR(IRR(B19:L19),0)</f>
        <v>0.25405811399988143</v>
      </c>
      <c r="C23" s="81">
        <f>IFERROR(IRR(B20:L20),0)</f>
        <v>0.43592625896232362</v>
      </c>
    </row>
    <row r="24" spans="1:12" x14ac:dyDescent="0.25">
      <c r="A24" s="14" t="s">
        <v>19</v>
      </c>
      <c r="B24" s="91">
        <f>IFERROR(SUM(C16:L16)/(Assumptions!$B$80*Acquisition!$B$23),0)</f>
        <v>2.3182501446779047</v>
      </c>
      <c r="C24" s="91">
        <f>IFERROR(SUM(C17:L17)/(Assumptions!$B$81*Acquisition!$B$23),0)</f>
        <v>4.2660628255252862</v>
      </c>
    </row>
    <row r="25" spans="1:12" x14ac:dyDescent="0.25">
      <c r="A25" s="14" t="s">
        <v>427</v>
      </c>
      <c r="B25" s="70">
        <f>SUM(C16:L16)</f>
        <v>1252063.7206390896</v>
      </c>
      <c r="C25" s="70">
        <f>SUM(C17:L17)</f>
        <v>256006.43015977243</v>
      </c>
    </row>
    <row r="26" spans="1:12" x14ac:dyDescent="0.25">
      <c r="A26" s="14" t="s">
        <v>428</v>
      </c>
      <c r="B26" s="70">
        <f>Assumptions!$B$80*Acquisition!$B$23</f>
        <v>540090</v>
      </c>
      <c r="C26" s="70">
        <f>Assumptions!$B$81*Acquisition!$B$23</f>
        <v>60010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zoomScaleNormal="100" workbookViewId="0">
      <selection activeCell="A20" sqref="A20"/>
    </sheetView>
  </sheetViews>
  <sheetFormatPr defaultColWidth="8.7109375" defaultRowHeight="15" x14ac:dyDescent="0.25"/>
  <cols>
    <col min="1" max="1" width="16" customWidth="1"/>
    <col min="2" max="14" width="9" customWidth="1"/>
  </cols>
  <sheetData>
    <row r="1" spans="1:14" ht="24" customHeight="1" x14ac:dyDescent="0.25">
      <c r="A1" s="141" t="s">
        <v>429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ht="13.5" customHeight="1" x14ac:dyDescent="0.25">
      <c r="A2" s="142" t="s">
        <v>430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</row>
    <row r="4" spans="1:14" x14ac:dyDescent="0.25">
      <c r="A4" s="143" t="s">
        <v>431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</row>
    <row r="5" spans="1:14" x14ac:dyDescent="0.25">
      <c r="A5" s="19" t="s">
        <v>432</v>
      </c>
      <c r="B5" s="94" t="s">
        <v>404</v>
      </c>
      <c r="C5" s="94" t="s">
        <v>26</v>
      </c>
      <c r="D5" s="94" t="s">
        <v>27</v>
      </c>
      <c r="E5" s="94" t="s">
        <v>28</v>
      </c>
      <c r="F5" s="94" t="s">
        <v>29</v>
      </c>
      <c r="G5" s="94" t="s">
        <v>30</v>
      </c>
      <c r="H5" s="94" t="s">
        <v>31</v>
      </c>
      <c r="I5" s="94" t="s">
        <v>32</v>
      </c>
      <c r="J5" s="94" t="s">
        <v>33</v>
      </c>
      <c r="K5" s="94" t="s">
        <v>34</v>
      </c>
      <c r="L5" s="94" t="s">
        <v>35</v>
      </c>
      <c r="M5" s="100" t="s">
        <v>384</v>
      </c>
      <c r="N5" s="100" t="s">
        <v>405</v>
      </c>
    </row>
    <row r="6" spans="1:14" x14ac:dyDescent="0.25">
      <c r="A6" s="101">
        <f>0.85*Assumptions!$B$8</f>
        <v>1105000</v>
      </c>
      <c r="B6" s="95">
        <f>-((A6*(1+Assumptions!$B$65)+Assumptions!$B$62*(Assumptions!$B$58*A6)+Assumptions!$B$56)-(Assumptions!$B$58*A6))</f>
        <v>-536335</v>
      </c>
      <c r="C6" s="95">
        <f>IF(1&lt;=Exit!$B$6,1*'Equity Returns'!C5+((Assumptions!$B$58*A6)/Acquisition!$B$10)*'Equity Returns'!C6+IF(AND(Assumptions!$B$67=1,1=(INT((Assumptions!$B$68-1)/12)+1)),(Refinance!$B$11+Refinance!$B$13+Refinance!$B$12*((Assumptions!$B$58*A6)/Acquisition!$B$10)),0)+IF(1=Exit!$B$6,(Exit!$B$9*(1-(Assumptions!$B$77+Assumptions!$B$78))+Exit!$B$12*((Assumptions!$B$58*A6)/Acquisition!$B$10)),0),0)</f>
        <v>30947.413333333323</v>
      </c>
      <c r="D6" s="95">
        <f>IF(2&lt;=Exit!$B$6,1*'Equity Returns'!D5+((Assumptions!$B$58*A6)/Acquisition!$B$10)*'Equity Returns'!D6+IF(AND(Assumptions!$B$67=1,2=(INT((Assumptions!$B$68-1)/12)+1)),(Refinance!$B$11+Refinance!$B$13+Refinance!$B$12*((Assumptions!$B$58*A6)/Acquisition!$B$10)),0)+IF(2=Exit!$B$6,(Exit!$B$9*(1-(Assumptions!$B$77+Assumptions!$B$78))+Exit!$B$12*((Assumptions!$B$58*A6)/Acquisition!$B$10)),0),0)</f>
        <v>69158.13763333339</v>
      </c>
      <c r="E6" s="95">
        <f>IF(3&lt;=Exit!$B$6,1*'Equity Returns'!E5+((Assumptions!$B$58*A6)/Acquisition!$B$10)*'Equity Returns'!E6+IF(AND(Assumptions!$B$67=1,3=(INT((Assumptions!$B$68-1)/12)+1)),(Refinance!$B$11+Refinance!$B$13+Refinance!$B$12*((Assumptions!$B$58*A6)/Acquisition!$B$10)),0)+IF(3=Exit!$B$6,(Exit!$B$9*(1-(Assumptions!$B$77+Assumptions!$B$78))+Exit!$B$12*((Assumptions!$B$58*A6)/Acquisition!$B$10)),0),0)</f>
        <v>818029.63725253416</v>
      </c>
      <c r="F6" s="95">
        <f>IF(4&lt;=Exit!$B$6,1*'Equity Returns'!F5+((Assumptions!$B$58*A6)/Acquisition!$B$10)*'Equity Returns'!F6+IF(AND(Assumptions!$B$67=1,4=(INT((Assumptions!$B$68-1)/12)+1)),(Refinance!$B$11+Refinance!$B$13+Refinance!$B$12*((Assumptions!$B$58*A6)/Acquisition!$B$10)),0)+IF(4=Exit!$B$6,(Exit!$B$9*(1-(Assumptions!$B$77+Assumptions!$B$78))+Exit!$B$12*((Assumptions!$B$58*A6)/Acquisition!$B$10)),0),0)</f>
        <v>39782.434222214448</v>
      </c>
      <c r="G6" s="95">
        <f>IF(5&lt;=Exit!$B$6,1*'Equity Returns'!G5+((Assumptions!$B$58*A6)/Acquisition!$B$10)*'Equity Returns'!G6+IF(AND(Assumptions!$B$67=1,5=(INT((Assumptions!$B$68-1)/12)+1)),(Refinance!$B$11+Refinance!$B$13+Refinance!$B$12*((Assumptions!$B$58*A6)/Acquisition!$B$10)),0)+IF(5=Exit!$B$6,(Exit!$B$9*(1-(Assumptions!$B$77+Assumptions!$B$78))+Exit!$B$12*((Assumptions!$B$58*A6)/Acquisition!$B$10)),0),0)</f>
        <v>970670.09960155631</v>
      </c>
      <c r="H6" s="95">
        <f>IF(6&lt;=Exit!$B$6,1*'Equity Returns'!H5+((Assumptions!$B$58*A6)/Acquisition!$B$10)*'Equity Returns'!H6+IF(AND(Assumptions!$B$67=1,6=(INT((Assumptions!$B$68-1)/12)+1)),(Refinance!$B$11+Refinance!$B$13+Refinance!$B$12*((Assumptions!$B$58*A6)/Acquisition!$B$10)),0)+IF(6=Exit!$B$6,(Exit!$B$9*(1-(Assumptions!$B$77+Assumptions!$B$78))+Exit!$B$12*((Assumptions!$B$58*A6)/Acquisition!$B$10)),0),0)</f>
        <v>0</v>
      </c>
      <c r="I6" s="95">
        <f>IF(7&lt;=Exit!$B$6,1*'Equity Returns'!I5+((Assumptions!$B$58*A6)/Acquisition!$B$10)*'Equity Returns'!I6+IF(AND(Assumptions!$B$67=1,7=(INT((Assumptions!$B$68-1)/12)+1)),(Refinance!$B$11+Refinance!$B$13+Refinance!$B$12*((Assumptions!$B$58*A6)/Acquisition!$B$10)),0)+IF(7=Exit!$B$6,(Exit!$B$9*(1-(Assumptions!$B$77+Assumptions!$B$78))+Exit!$B$12*((Assumptions!$B$58*A6)/Acquisition!$B$10)),0),0)</f>
        <v>0</v>
      </c>
      <c r="J6" s="95">
        <f>IF(8&lt;=Exit!$B$6,1*'Equity Returns'!J5+((Assumptions!$B$58*A6)/Acquisition!$B$10)*'Equity Returns'!J6+IF(AND(Assumptions!$B$67=1,8=(INT((Assumptions!$B$68-1)/12)+1)),(Refinance!$B$11+Refinance!$B$13+Refinance!$B$12*((Assumptions!$B$58*A6)/Acquisition!$B$10)),0)+IF(8=Exit!$B$6,(Exit!$B$9*(1-(Assumptions!$B$77+Assumptions!$B$78))+Exit!$B$12*((Assumptions!$B$58*A6)/Acquisition!$B$10)),0),0)</f>
        <v>0</v>
      </c>
      <c r="K6" s="95">
        <f>IF(9&lt;=Exit!$B$6,1*'Equity Returns'!K5+((Assumptions!$B$58*A6)/Acquisition!$B$10)*'Equity Returns'!K6+IF(AND(Assumptions!$B$67=1,9=(INT((Assumptions!$B$68-1)/12)+1)),(Refinance!$B$11+Refinance!$B$13+Refinance!$B$12*((Assumptions!$B$58*A6)/Acquisition!$B$10)),0)+IF(9=Exit!$B$6,(Exit!$B$9*(1-(Assumptions!$B$77+Assumptions!$B$78))+Exit!$B$12*((Assumptions!$B$58*A6)/Acquisition!$B$10)),0),0)</f>
        <v>0</v>
      </c>
      <c r="L6" s="95">
        <f>IF(10&lt;=Exit!$B$6,1*'Equity Returns'!L5+((Assumptions!$B$58*A6)/Acquisition!$B$10)*'Equity Returns'!L6+IF(AND(Assumptions!$B$67=1,10=(INT((Assumptions!$B$68-1)/12)+1)),(Refinance!$B$11+Refinance!$B$13+Refinance!$B$12*((Assumptions!$B$58*A6)/Acquisition!$B$10)),0)+IF(10=Exit!$B$6,(Exit!$B$9*(1-(Assumptions!$B$77+Assumptions!$B$78))+Exit!$B$12*((Assumptions!$B$58*A6)/Acquisition!$B$10)),0),0)</f>
        <v>0</v>
      </c>
      <c r="M6" s="102">
        <f t="shared" ref="M6:M12" si="0">IFERROR(IRR(B6:L6),0)</f>
        <v>0.40734959561182293</v>
      </c>
      <c r="N6" s="103">
        <f t="shared" ref="N6:N12" si="1">IFERROR(SUMIF(C6:L6,"&gt;0")/(-B6),0)</f>
        <v>3.5958640067177634</v>
      </c>
    </row>
    <row r="7" spans="1:14" x14ac:dyDescent="0.25">
      <c r="A7" s="101">
        <f>0.9*Assumptions!$B$8</f>
        <v>1170000</v>
      </c>
      <c r="B7" s="95">
        <f>-((A7*(1+Assumptions!$B$65)+Assumptions!$B$62*(Assumptions!$B$58*A7)+Assumptions!$B$56)-(Assumptions!$B$58*A7))</f>
        <v>-557590</v>
      </c>
      <c r="C7" s="95">
        <f>IF(1&lt;=Exit!$B$6,1*'Equity Returns'!C5+((Assumptions!$B$58*A7)/Acquisition!$B$10)*'Equity Returns'!C6+IF(AND(Assumptions!$B$67=1,1=(INT((Assumptions!$B$68-1)/12)+1)),(Refinance!$B$11+Refinance!$B$13+Refinance!$B$12*((Assumptions!$B$58*A7)/Acquisition!$B$10)),0)+IF(1=Exit!$B$6,(Exit!$B$9*(1-(Assumptions!$B$77+Assumptions!$B$78))+Exit!$B$12*((Assumptions!$B$58*A7)/Acquisition!$B$10)),0),0)</f>
        <v>27989.913333333323</v>
      </c>
      <c r="D7" s="95">
        <f>IF(2&lt;=Exit!$B$6,1*'Equity Returns'!D5+((Assumptions!$B$58*A7)/Acquisition!$B$10)*'Equity Returns'!D6+IF(AND(Assumptions!$B$67=1,2=(INT((Assumptions!$B$68-1)/12)+1)),(Refinance!$B$11+Refinance!$B$13+Refinance!$B$12*((Assumptions!$B$58*A7)/Acquisition!$B$10)),0)+IF(2=Exit!$B$6,(Exit!$B$9*(1-(Assumptions!$B$77+Assumptions!$B$78))+Exit!$B$12*((Assumptions!$B$58*A7)/Acquisition!$B$10)),0),0)</f>
        <v>66200.63763333339</v>
      </c>
      <c r="E7" s="95">
        <f>IF(3&lt;=Exit!$B$6,1*'Equity Returns'!E5+((Assumptions!$B$58*A7)/Acquisition!$B$10)*'Equity Returns'!E6+IF(AND(Assumptions!$B$67=1,3=(INT((Assumptions!$B$68-1)/12)+1)),(Refinance!$B$11+Refinance!$B$13+Refinance!$B$12*((Assumptions!$B$58*A7)/Acquisition!$B$10)),0)+IF(3=Exit!$B$6,(Exit!$B$9*(1-(Assumptions!$B$77+Assumptions!$B$78))+Exit!$B$12*((Assumptions!$B$58*A7)/Acquisition!$B$10)),0),0)</f>
        <v>769371.78018160956</v>
      </c>
      <c r="F7" s="95">
        <f>IF(4&lt;=Exit!$B$6,1*'Equity Returns'!F5+((Assumptions!$B$58*A7)/Acquisition!$B$10)*'Equity Returns'!F6+IF(AND(Assumptions!$B$67=1,4=(INT((Assumptions!$B$68-1)/12)+1)),(Refinance!$B$11+Refinance!$B$13+Refinance!$B$12*((Assumptions!$B$58*A7)/Acquisition!$B$10)),0)+IF(4=Exit!$B$6,(Exit!$B$9*(1-(Assumptions!$B$77+Assumptions!$B$78))+Exit!$B$12*((Assumptions!$B$58*A7)/Acquisition!$B$10)),0),0)</f>
        <v>34271.184631937635</v>
      </c>
      <c r="G7" s="95">
        <f>IF(5&lt;=Exit!$B$6,1*'Equity Returns'!G5+((Assumptions!$B$58*A7)/Acquisition!$B$10)*'Equity Returns'!G6+IF(AND(Assumptions!$B$67=1,5=(INT((Assumptions!$B$68-1)/12)+1)),(Refinance!$B$11+Refinance!$B$13+Refinance!$B$12*((Assumptions!$B$58*A7)/Acquisition!$B$10)),0)+IF(5=Exit!$B$6,(Exit!$B$9*(1-(Assumptions!$B$77+Assumptions!$B$78))+Exit!$B$12*((Assumptions!$B$58*A7)/Acquisition!$B$10)),0),0)</f>
        <v>890581.68251472095</v>
      </c>
      <c r="H7" s="95">
        <f>IF(6&lt;=Exit!$B$6,1*'Equity Returns'!H5+((Assumptions!$B$58*A7)/Acquisition!$B$10)*'Equity Returns'!H6+IF(AND(Assumptions!$B$67=1,6=(INT((Assumptions!$B$68-1)/12)+1)),(Refinance!$B$11+Refinance!$B$13+Refinance!$B$12*((Assumptions!$B$58*A7)/Acquisition!$B$10)),0)+IF(6=Exit!$B$6,(Exit!$B$9*(1-(Assumptions!$B$77+Assumptions!$B$78))+Exit!$B$12*((Assumptions!$B$58*A7)/Acquisition!$B$10)),0),0)</f>
        <v>0</v>
      </c>
      <c r="I7" s="95">
        <f>IF(7&lt;=Exit!$B$6,1*'Equity Returns'!I5+((Assumptions!$B$58*A7)/Acquisition!$B$10)*'Equity Returns'!I6+IF(AND(Assumptions!$B$67=1,7=(INT((Assumptions!$B$68-1)/12)+1)),(Refinance!$B$11+Refinance!$B$13+Refinance!$B$12*((Assumptions!$B$58*A7)/Acquisition!$B$10)),0)+IF(7=Exit!$B$6,(Exit!$B$9*(1-(Assumptions!$B$77+Assumptions!$B$78))+Exit!$B$12*((Assumptions!$B$58*A7)/Acquisition!$B$10)),0),0)</f>
        <v>0</v>
      </c>
      <c r="J7" s="95">
        <f>IF(8&lt;=Exit!$B$6,1*'Equity Returns'!J5+((Assumptions!$B$58*A7)/Acquisition!$B$10)*'Equity Returns'!J6+IF(AND(Assumptions!$B$67=1,8=(INT((Assumptions!$B$68-1)/12)+1)),(Refinance!$B$11+Refinance!$B$13+Refinance!$B$12*((Assumptions!$B$58*A7)/Acquisition!$B$10)),0)+IF(8=Exit!$B$6,(Exit!$B$9*(1-(Assumptions!$B$77+Assumptions!$B$78))+Exit!$B$12*((Assumptions!$B$58*A7)/Acquisition!$B$10)),0),0)</f>
        <v>0</v>
      </c>
      <c r="K7" s="95">
        <f>IF(9&lt;=Exit!$B$6,1*'Equity Returns'!K5+((Assumptions!$B$58*A7)/Acquisition!$B$10)*'Equity Returns'!K6+IF(AND(Assumptions!$B$67=1,9=(INT((Assumptions!$B$68-1)/12)+1)),(Refinance!$B$11+Refinance!$B$13+Refinance!$B$12*((Assumptions!$B$58*A7)/Acquisition!$B$10)),0)+IF(9=Exit!$B$6,(Exit!$B$9*(1-(Assumptions!$B$77+Assumptions!$B$78))+Exit!$B$12*((Assumptions!$B$58*A7)/Acquisition!$B$10)),0),0)</f>
        <v>0</v>
      </c>
      <c r="L7" s="95">
        <f>IF(10&lt;=Exit!$B$6,1*'Equity Returns'!L5+((Assumptions!$B$58*A7)/Acquisition!$B$10)*'Equity Returns'!L6+IF(AND(Assumptions!$B$67=1,10=(INT((Assumptions!$B$68-1)/12)+1)),(Refinance!$B$11+Refinance!$B$13+Refinance!$B$12*((Assumptions!$B$58*A7)/Acquisition!$B$10)),0)+IF(10=Exit!$B$6,(Exit!$B$9*(1-(Assumptions!$B$77+Assumptions!$B$78))+Exit!$B$12*((Assumptions!$B$58*A7)/Acquisition!$B$10)),0),0)</f>
        <v>0</v>
      </c>
      <c r="M7" s="102">
        <f t="shared" si="0"/>
        <v>0.36414753217835938</v>
      </c>
      <c r="N7" s="103">
        <f t="shared" si="1"/>
        <v>3.2074018513512343</v>
      </c>
    </row>
    <row r="8" spans="1:14" x14ac:dyDescent="0.25">
      <c r="A8" s="101">
        <f>0.95*Assumptions!$B$8</f>
        <v>1235000</v>
      </c>
      <c r="B8" s="95">
        <f>-((A8*(1+Assumptions!$B$65)+Assumptions!$B$62*(Assumptions!$B$58*A8)+Assumptions!$B$56)-(Assumptions!$B$58*A8))</f>
        <v>-578845</v>
      </c>
      <c r="C8" s="95">
        <f>IF(1&lt;=Exit!$B$6,1*'Equity Returns'!C5+((Assumptions!$B$58*A8)/Acquisition!$B$10)*'Equity Returns'!C6+IF(AND(Assumptions!$B$67=1,1=(INT((Assumptions!$B$68-1)/12)+1)),(Refinance!$B$11+Refinance!$B$13+Refinance!$B$12*((Assumptions!$B$58*A8)/Acquisition!$B$10)),0)+IF(1=Exit!$B$6,(Exit!$B$9*(1-(Assumptions!$B$77+Assumptions!$B$78))+Exit!$B$12*((Assumptions!$B$58*A8)/Acquisition!$B$10)),0),0)</f>
        <v>25032.413333333323</v>
      </c>
      <c r="D8" s="95">
        <f>IF(2&lt;=Exit!$B$6,1*'Equity Returns'!D5+((Assumptions!$B$58*A8)/Acquisition!$B$10)*'Equity Returns'!D6+IF(AND(Assumptions!$B$67=1,2=(INT((Assumptions!$B$68-1)/12)+1)),(Refinance!$B$11+Refinance!$B$13+Refinance!$B$12*((Assumptions!$B$58*A8)/Acquisition!$B$10)),0)+IF(2=Exit!$B$6,(Exit!$B$9*(1-(Assumptions!$B$77+Assumptions!$B$78))+Exit!$B$12*((Assumptions!$B$58*A8)/Acquisition!$B$10)),0),0)</f>
        <v>63243.137633333397</v>
      </c>
      <c r="E8" s="95">
        <f>IF(3&lt;=Exit!$B$6,1*'Equity Returns'!E5+((Assumptions!$B$58*A8)/Acquisition!$B$10)*'Equity Returns'!E6+IF(AND(Assumptions!$B$67=1,3=(INT((Assumptions!$B$68-1)/12)+1)),(Refinance!$B$11+Refinance!$B$13+Refinance!$B$12*((Assumptions!$B$58*A8)/Acquisition!$B$10)),0)+IF(3=Exit!$B$6,(Exit!$B$9*(1-(Assumptions!$B$77+Assumptions!$B$78))+Exit!$B$12*((Assumptions!$B$58*A8)/Acquisition!$B$10)),0),0)</f>
        <v>720713.92311068508</v>
      </c>
      <c r="F8" s="95">
        <f>IF(4&lt;=Exit!$B$6,1*'Equity Returns'!F5+((Assumptions!$B$58*A8)/Acquisition!$B$10)*'Equity Returns'!F6+IF(AND(Assumptions!$B$67=1,4=(INT((Assumptions!$B$68-1)/12)+1)),(Refinance!$B$11+Refinance!$B$13+Refinance!$B$12*((Assumptions!$B$58*A8)/Acquisition!$B$10)),0)+IF(4=Exit!$B$6,(Exit!$B$9*(1-(Assumptions!$B$77+Assumptions!$B$78))+Exit!$B$12*((Assumptions!$B$58*A8)/Acquisition!$B$10)),0),0)</f>
        <v>28759.935041660836</v>
      </c>
      <c r="G8" s="95">
        <f>IF(5&lt;=Exit!$B$6,1*'Equity Returns'!G5+((Assumptions!$B$58*A8)/Acquisition!$B$10)*'Equity Returns'!G6+IF(AND(Assumptions!$B$67=1,5=(INT((Assumptions!$B$68-1)/12)+1)),(Refinance!$B$11+Refinance!$B$13+Refinance!$B$12*((Assumptions!$B$58*A8)/Acquisition!$B$10)),0)+IF(5=Exit!$B$6,(Exit!$B$9*(1-(Assumptions!$B$77+Assumptions!$B$78))+Exit!$B$12*((Assumptions!$B$58*A8)/Acquisition!$B$10)),0),0)</f>
        <v>810493.26542788593</v>
      </c>
      <c r="H8" s="95">
        <f>IF(6&lt;=Exit!$B$6,1*'Equity Returns'!H5+((Assumptions!$B$58*A8)/Acquisition!$B$10)*'Equity Returns'!H6+IF(AND(Assumptions!$B$67=1,6=(INT((Assumptions!$B$68-1)/12)+1)),(Refinance!$B$11+Refinance!$B$13+Refinance!$B$12*((Assumptions!$B$58*A8)/Acquisition!$B$10)),0)+IF(6=Exit!$B$6,(Exit!$B$9*(1-(Assumptions!$B$77+Assumptions!$B$78))+Exit!$B$12*((Assumptions!$B$58*A8)/Acquisition!$B$10)),0),0)</f>
        <v>0</v>
      </c>
      <c r="I8" s="95">
        <f>IF(7&lt;=Exit!$B$6,1*'Equity Returns'!I5+((Assumptions!$B$58*A8)/Acquisition!$B$10)*'Equity Returns'!I6+IF(AND(Assumptions!$B$67=1,7=(INT((Assumptions!$B$68-1)/12)+1)),(Refinance!$B$11+Refinance!$B$13+Refinance!$B$12*((Assumptions!$B$58*A8)/Acquisition!$B$10)),0)+IF(7=Exit!$B$6,(Exit!$B$9*(1-(Assumptions!$B$77+Assumptions!$B$78))+Exit!$B$12*((Assumptions!$B$58*A8)/Acquisition!$B$10)),0),0)</f>
        <v>0</v>
      </c>
      <c r="J8" s="95">
        <f>IF(8&lt;=Exit!$B$6,1*'Equity Returns'!J5+((Assumptions!$B$58*A8)/Acquisition!$B$10)*'Equity Returns'!J6+IF(AND(Assumptions!$B$67=1,8=(INT((Assumptions!$B$68-1)/12)+1)),(Refinance!$B$11+Refinance!$B$13+Refinance!$B$12*((Assumptions!$B$58*A8)/Acquisition!$B$10)),0)+IF(8=Exit!$B$6,(Exit!$B$9*(1-(Assumptions!$B$77+Assumptions!$B$78))+Exit!$B$12*((Assumptions!$B$58*A8)/Acquisition!$B$10)),0),0)</f>
        <v>0</v>
      </c>
      <c r="K8" s="95">
        <f>IF(9&lt;=Exit!$B$6,1*'Equity Returns'!K5+((Assumptions!$B$58*A8)/Acquisition!$B$10)*'Equity Returns'!K6+IF(AND(Assumptions!$B$67=1,9=(INT((Assumptions!$B$68-1)/12)+1)),(Refinance!$B$11+Refinance!$B$13+Refinance!$B$12*((Assumptions!$B$58*A8)/Acquisition!$B$10)),0)+IF(9=Exit!$B$6,(Exit!$B$9*(1-(Assumptions!$B$77+Assumptions!$B$78))+Exit!$B$12*((Assumptions!$B$58*A8)/Acquisition!$B$10)),0),0)</f>
        <v>0</v>
      </c>
      <c r="L8" s="95">
        <f>IF(10&lt;=Exit!$B$6,1*'Equity Returns'!L5+((Assumptions!$B$58*A8)/Acquisition!$B$10)*'Equity Returns'!L6+IF(AND(Assumptions!$B$67=1,10=(INT((Assumptions!$B$68-1)/12)+1)),(Refinance!$B$11+Refinance!$B$13+Refinance!$B$12*((Assumptions!$B$58*A8)/Acquisition!$B$10)),0)+IF(10=Exit!$B$6,(Exit!$B$9*(1-(Assumptions!$B$77+Assumptions!$B$78))+Exit!$B$12*((Assumptions!$B$58*A8)/Acquisition!$B$10)),0),0)</f>
        <v>0</v>
      </c>
      <c r="M8" s="102">
        <f t="shared" si="0"/>
        <v>0.32094867209395184</v>
      </c>
      <c r="N8" s="103">
        <f t="shared" si="1"/>
        <v>2.847468103804816</v>
      </c>
    </row>
    <row r="9" spans="1:14" x14ac:dyDescent="0.25">
      <c r="A9" s="101">
        <f>1*Assumptions!$B$8</f>
        <v>1300000</v>
      </c>
      <c r="B9" s="95">
        <f>-((A9*(1+Assumptions!$B$65)+Assumptions!$B$62*(Assumptions!$B$58*A9)+Assumptions!$B$56)-(Assumptions!$B$58*A9))</f>
        <v>-600100</v>
      </c>
      <c r="C9" s="95">
        <f>IF(1&lt;=Exit!$B$6,1*'Equity Returns'!C5+((Assumptions!$B$58*A9)/Acquisition!$B$10)*'Equity Returns'!C6+IF(AND(Assumptions!$B$67=1,1=(INT((Assumptions!$B$68-1)/12)+1)),(Refinance!$B$11+Refinance!$B$13+Refinance!$B$12*((Assumptions!$B$58*A9)/Acquisition!$B$10)),0)+IF(1=Exit!$B$6,(Exit!$B$9*(1-(Assumptions!$B$77+Assumptions!$B$78))+Exit!$B$12*((Assumptions!$B$58*A9)/Acquisition!$B$10)),0),0)</f>
        <v>22074.913333333323</v>
      </c>
      <c r="D9" s="95">
        <f>IF(2&lt;=Exit!$B$6,1*'Equity Returns'!D5+((Assumptions!$B$58*A9)/Acquisition!$B$10)*'Equity Returns'!D6+IF(AND(Assumptions!$B$67=1,2=(INT((Assumptions!$B$68-1)/12)+1)),(Refinance!$B$11+Refinance!$B$13+Refinance!$B$12*((Assumptions!$B$58*A9)/Acquisition!$B$10)),0)+IF(2=Exit!$B$6,(Exit!$B$9*(1-(Assumptions!$B$77+Assumptions!$B$78))+Exit!$B$12*((Assumptions!$B$58*A9)/Acquisition!$B$10)),0),0)</f>
        <v>60285.637633333397</v>
      </c>
      <c r="E9" s="95">
        <f>IF(3&lt;=Exit!$B$6,1*'Equity Returns'!E5+((Assumptions!$B$58*A9)/Acquisition!$B$10)*'Equity Returns'!E6+IF(AND(Assumptions!$B$67=1,3=(INT((Assumptions!$B$68-1)/12)+1)),(Refinance!$B$11+Refinance!$B$13+Refinance!$B$12*((Assumptions!$B$58*A9)/Acquisition!$B$10)),0)+IF(3=Exit!$B$6,(Exit!$B$9*(1-(Assumptions!$B$77+Assumptions!$B$78))+Exit!$B$12*((Assumptions!$B$58*A9)/Acquisition!$B$10)),0),0)</f>
        <v>672056.06603976048</v>
      </c>
      <c r="F9" s="95">
        <f>IF(4&lt;=Exit!$B$6,1*'Equity Returns'!F5+((Assumptions!$B$58*A9)/Acquisition!$B$10)*'Equity Returns'!F6+IF(AND(Assumptions!$B$67=1,4=(INT((Assumptions!$B$68-1)/12)+1)),(Refinance!$B$11+Refinance!$B$13+Refinance!$B$12*((Assumptions!$B$58*A9)/Acquisition!$B$10)),0)+IF(4=Exit!$B$6,(Exit!$B$9*(1-(Assumptions!$B$77+Assumptions!$B$78))+Exit!$B$12*((Assumptions!$B$58*A9)/Acquisition!$B$10)),0),0)</f>
        <v>23248.685451384037</v>
      </c>
      <c r="G9" s="95">
        <f>IF(5&lt;=Exit!$B$6,1*'Equity Returns'!G5+((Assumptions!$B$58*A9)/Acquisition!$B$10)*'Equity Returns'!G6+IF(AND(Assumptions!$B$67=1,5=(INT((Assumptions!$B$68-1)/12)+1)),(Refinance!$B$11+Refinance!$B$13+Refinance!$B$12*((Assumptions!$B$58*A9)/Acquisition!$B$10)),0)+IF(5=Exit!$B$6,(Exit!$B$9*(1-(Assumptions!$B$77+Assumptions!$B$78))+Exit!$B$12*((Assumptions!$B$58*A9)/Acquisition!$B$10)),0),0)</f>
        <v>730404.84834105056</v>
      </c>
      <c r="H9" s="95">
        <f>IF(6&lt;=Exit!$B$6,1*'Equity Returns'!H5+((Assumptions!$B$58*A9)/Acquisition!$B$10)*'Equity Returns'!H6+IF(AND(Assumptions!$B$67=1,6=(INT((Assumptions!$B$68-1)/12)+1)),(Refinance!$B$11+Refinance!$B$13+Refinance!$B$12*((Assumptions!$B$58*A9)/Acquisition!$B$10)),0)+IF(6=Exit!$B$6,(Exit!$B$9*(1-(Assumptions!$B$77+Assumptions!$B$78))+Exit!$B$12*((Assumptions!$B$58*A9)/Acquisition!$B$10)),0),0)</f>
        <v>0</v>
      </c>
      <c r="I9" s="95">
        <f>IF(7&lt;=Exit!$B$6,1*'Equity Returns'!I5+((Assumptions!$B$58*A9)/Acquisition!$B$10)*'Equity Returns'!I6+IF(AND(Assumptions!$B$67=1,7=(INT((Assumptions!$B$68-1)/12)+1)),(Refinance!$B$11+Refinance!$B$13+Refinance!$B$12*((Assumptions!$B$58*A9)/Acquisition!$B$10)),0)+IF(7=Exit!$B$6,(Exit!$B$9*(1-(Assumptions!$B$77+Assumptions!$B$78))+Exit!$B$12*((Assumptions!$B$58*A9)/Acquisition!$B$10)),0),0)</f>
        <v>0</v>
      </c>
      <c r="J9" s="95">
        <f>IF(8&lt;=Exit!$B$6,1*'Equity Returns'!J5+((Assumptions!$B$58*A9)/Acquisition!$B$10)*'Equity Returns'!J6+IF(AND(Assumptions!$B$67=1,8=(INT((Assumptions!$B$68-1)/12)+1)),(Refinance!$B$11+Refinance!$B$13+Refinance!$B$12*((Assumptions!$B$58*A9)/Acquisition!$B$10)),0)+IF(8=Exit!$B$6,(Exit!$B$9*(1-(Assumptions!$B$77+Assumptions!$B$78))+Exit!$B$12*((Assumptions!$B$58*A9)/Acquisition!$B$10)),0),0)</f>
        <v>0</v>
      </c>
      <c r="K9" s="95">
        <f>IF(9&lt;=Exit!$B$6,1*'Equity Returns'!K5+((Assumptions!$B$58*A9)/Acquisition!$B$10)*'Equity Returns'!K6+IF(AND(Assumptions!$B$67=1,9=(INT((Assumptions!$B$68-1)/12)+1)),(Refinance!$B$11+Refinance!$B$13+Refinance!$B$12*((Assumptions!$B$58*A9)/Acquisition!$B$10)),0)+IF(9=Exit!$B$6,(Exit!$B$9*(1-(Assumptions!$B$77+Assumptions!$B$78))+Exit!$B$12*((Assumptions!$B$58*A9)/Acquisition!$B$10)),0),0)</f>
        <v>0</v>
      </c>
      <c r="L9" s="95">
        <f>IF(10&lt;=Exit!$B$6,1*'Equity Returns'!L5+((Assumptions!$B$58*A9)/Acquisition!$B$10)*'Equity Returns'!L6+IF(AND(Assumptions!$B$67=1,10=(INT((Assumptions!$B$68-1)/12)+1)),(Refinance!$B$11+Refinance!$B$13+Refinance!$B$12*((Assumptions!$B$58*A9)/Acquisition!$B$10)),0)+IF(10=Exit!$B$6,(Exit!$B$9*(1-(Assumptions!$B$77+Assumptions!$B$78))+Exit!$B$12*((Assumptions!$B$58*A9)/Acquisition!$B$10)),0),0)</f>
        <v>0</v>
      </c>
      <c r="M9" s="102">
        <f t="shared" si="0"/>
        <v>0.27741656061743125</v>
      </c>
      <c r="N9" s="103">
        <f t="shared" si="1"/>
        <v>2.5130314127626425</v>
      </c>
    </row>
    <row r="10" spans="1:14" x14ac:dyDescent="0.25">
      <c r="A10" s="101">
        <f>1.05*Assumptions!$B$8</f>
        <v>1365000</v>
      </c>
      <c r="B10" s="95">
        <f>-((A10*(1+Assumptions!$B$65)+Assumptions!$B$62*(Assumptions!$B$58*A10)+Assumptions!$B$56)-(Assumptions!$B$58*A10))</f>
        <v>-621355.00000000012</v>
      </c>
      <c r="C10" s="95">
        <f>IF(1&lt;=Exit!$B$6,1*'Equity Returns'!C5+((Assumptions!$B$58*A10)/Acquisition!$B$10)*'Equity Returns'!C6+IF(AND(Assumptions!$B$67=1,1=(INT((Assumptions!$B$68-1)/12)+1)),(Refinance!$B$11+Refinance!$B$13+Refinance!$B$12*((Assumptions!$B$58*A10)/Acquisition!$B$10)),0)+IF(1=Exit!$B$6,(Exit!$B$9*(1-(Assumptions!$B$77+Assumptions!$B$78))+Exit!$B$12*((Assumptions!$B$58*A10)/Acquisition!$B$10)),0),0)</f>
        <v>19117.41333333333</v>
      </c>
      <c r="D10" s="95">
        <f>IF(2&lt;=Exit!$B$6,1*'Equity Returns'!D5+((Assumptions!$B$58*A10)/Acquisition!$B$10)*'Equity Returns'!D6+IF(AND(Assumptions!$B$67=1,2=(INT((Assumptions!$B$68-1)/12)+1)),(Refinance!$B$11+Refinance!$B$13+Refinance!$B$12*((Assumptions!$B$58*A10)/Acquisition!$B$10)),0)+IF(2=Exit!$B$6,(Exit!$B$9*(1-(Assumptions!$B$77+Assumptions!$B$78))+Exit!$B$12*((Assumptions!$B$58*A10)/Acquisition!$B$10)),0),0)</f>
        <v>57328.137633333405</v>
      </c>
      <c r="E10" s="95">
        <f>IF(3&lt;=Exit!$B$6,1*'Equity Returns'!E5+((Assumptions!$B$58*A10)/Acquisition!$B$10)*'Equity Returns'!E6+IF(AND(Assumptions!$B$67=1,3=(INT((Assumptions!$B$68-1)/12)+1)),(Refinance!$B$11+Refinance!$B$13+Refinance!$B$12*((Assumptions!$B$58*A10)/Acquisition!$B$10)),0)+IF(3=Exit!$B$6,(Exit!$B$9*(1-(Assumptions!$B$77+Assumptions!$B$78))+Exit!$B$12*((Assumptions!$B$58*A10)/Acquisition!$B$10)),0),0)</f>
        <v>623398.20896883612</v>
      </c>
      <c r="F10" s="95">
        <f>IF(4&lt;=Exit!$B$6,1*'Equity Returns'!F5+((Assumptions!$B$58*A10)/Acquisition!$B$10)*'Equity Returns'!F6+IF(AND(Assumptions!$B$67=1,4=(INT((Assumptions!$B$68-1)/12)+1)),(Refinance!$B$11+Refinance!$B$13+Refinance!$B$12*((Assumptions!$B$58*A10)/Acquisition!$B$10)),0)+IF(4=Exit!$B$6,(Exit!$B$9*(1-(Assumptions!$B$77+Assumptions!$B$78))+Exit!$B$12*((Assumptions!$B$58*A10)/Acquisition!$B$10)),0),0)</f>
        <v>17737.435861107253</v>
      </c>
      <c r="G10" s="95">
        <f>IF(5&lt;=Exit!$B$6,1*'Equity Returns'!G5+((Assumptions!$B$58*A10)/Acquisition!$B$10)*'Equity Returns'!G6+IF(AND(Assumptions!$B$67=1,5=(INT((Assumptions!$B$68-1)/12)+1)),(Refinance!$B$11+Refinance!$B$13+Refinance!$B$12*((Assumptions!$B$58*A10)/Acquisition!$B$10)),0)+IF(5=Exit!$B$6,(Exit!$B$9*(1-(Assumptions!$B$77+Assumptions!$B$78))+Exit!$B$12*((Assumptions!$B$58*A10)/Acquisition!$B$10)),0),0)</f>
        <v>650316.43125421577</v>
      </c>
      <c r="H10" s="95">
        <f>IF(6&lt;=Exit!$B$6,1*'Equity Returns'!H5+((Assumptions!$B$58*A10)/Acquisition!$B$10)*'Equity Returns'!H6+IF(AND(Assumptions!$B$67=1,6=(INT((Assumptions!$B$68-1)/12)+1)),(Refinance!$B$11+Refinance!$B$13+Refinance!$B$12*((Assumptions!$B$58*A10)/Acquisition!$B$10)),0)+IF(6=Exit!$B$6,(Exit!$B$9*(1-(Assumptions!$B$77+Assumptions!$B$78))+Exit!$B$12*((Assumptions!$B$58*A10)/Acquisition!$B$10)),0),0)</f>
        <v>0</v>
      </c>
      <c r="I10" s="95">
        <f>IF(7&lt;=Exit!$B$6,1*'Equity Returns'!I5+((Assumptions!$B$58*A10)/Acquisition!$B$10)*'Equity Returns'!I6+IF(AND(Assumptions!$B$67=1,7=(INT((Assumptions!$B$68-1)/12)+1)),(Refinance!$B$11+Refinance!$B$13+Refinance!$B$12*((Assumptions!$B$58*A10)/Acquisition!$B$10)),0)+IF(7=Exit!$B$6,(Exit!$B$9*(1-(Assumptions!$B$77+Assumptions!$B$78))+Exit!$B$12*((Assumptions!$B$58*A10)/Acquisition!$B$10)),0),0)</f>
        <v>0</v>
      </c>
      <c r="J10" s="95">
        <f>IF(8&lt;=Exit!$B$6,1*'Equity Returns'!J5+((Assumptions!$B$58*A10)/Acquisition!$B$10)*'Equity Returns'!J6+IF(AND(Assumptions!$B$67=1,8=(INT((Assumptions!$B$68-1)/12)+1)),(Refinance!$B$11+Refinance!$B$13+Refinance!$B$12*((Assumptions!$B$58*A10)/Acquisition!$B$10)),0)+IF(8=Exit!$B$6,(Exit!$B$9*(1-(Assumptions!$B$77+Assumptions!$B$78))+Exit!$B$12*((Assumptions!$B$58*A10)/Acquisition!$B$10)),0),0)</f>
        <v>0</v>
      </c>
      <c r="K10" s="95">
        <f>IF(9&lt;=Exit!$B$6,1*'Equity Returns'!K5+((Assumptions!$B$58*A10)/Acquisition!$B$10)*'Equity Returns'!K6+IF(AND(Assumptions!$B$67=1,9=(INT((Assumptions!$B$68-1)/12)+1)),(Refinance!$B$11+Refinance!$B$13+Refinance!$B$12*((Assumptions!$B$58*A10)/Acquisition!$B$10)),0)+IF(9=Exit!$B$6,(Exit!$B$9*(1-(Assumptions!$B$77+Assumptions!$B$78))+Exit!$B$12*((Assumptions!$B$58*A10)/Acquisition!$B$10)),0),0)</f>
        <v>0</v>
      </c>
      <c r="L10" s="95">
        <f>IF(10&lt;=Exit!$B$6,1*'Equity Returns'!L5+((Assumptions!$B$58*A10)/Acquisition!$B$10)*'Equity Returns'!L6+IF(AND(Assumptions!$B$67=1,10=(INT((Assumptions!$B$68-1)/12)+1)),(Refinance!$B$11+Refinance!$B$13+Refinance!$B$12*((Assumptions!$B$58*A10)/Acquisition!$B$10)),0)+IF(10=Exit!$B$6,(Exit!$B$9*(1-(Assumptions!$B$77+Assumptions!$B$78))+Exit!$B$12*((Assumptions!$B$58*A10)/Acquisition!$B$10)),0),0)</f>
        <v>0</v>
      </c>
      <c r="M10" s="102">
        <f t="shared" si="0"/>
        <v>0.23316060735106148</v>
      </c>
      <c r="N10" s="103">
        <f t="shared" si="1"/>
        <v>2.2014752066867178</v>
      </c>
    </row>
    <row r="11" spans="1:14" x14ac:dyDescent="0.25">
      <c r="A11" s="101">
        <f>1.1*Assumptions!$B$8</f>
        <v>1430000</v>
      </c>
      <c r="B11" s="95">
        <f>-((A11*(1+Assumptions!$B$65)+Assumptions!$B$62*(Assumptions!$B$58*A11)+Assumptions!$B$56)-(Assumptions!$B$58*A11))</f>
        <v>-642610.00000000012</v>
      </c>
      <c r="C11" s="95">
        <f>IF(1&lt;=Exit!$B$6,1*'Equity Returns'!C5+((Assumptions!$B$58*A11)/Acquisition!$B$10)*'Equity Returns'!C6+IF(AND(Assumptions!$B$67=1,1=(INT((Assumptions!$B$68-1)/12)+1)),(Refinance!$B$11+Refinance!$B$13+Refinance!$B$12*((Assumptions!$B$58*A11)/Acquisition!$B$10)),0)+IF(1=Exit!$B$6,(Exit!$B$9*(1-(Assumptions!$B$77+Assumptions!$B$78))+Exit!$B$12*((Assumptions!$B$58*A11)/Acquisition!$B$10)),0),0)</f>
        <v>16159.91333333333</v>
      </c>
      <c r="D11" s="95">
        <f>IF(2&lt;=Exit!$B$6,1*'Equity Returns'!D5+((Assumptions!$B$58*A11)/Acquisition!$B$10)*'Equity Returns'!D6+IF(AND(Assumptions!$B$67=1,2=(INT((Assumptions!$B$68-1)/12)+1)),(Refinance!$B$11+Refinance!$B$13+Refinance!$B$12*((Assumptions!$B$58*A11)/Acquisition!$B$10)),0)+IF(2=Exit!$B$6,(Exit!$B$9*(1-(Assumptions!$B$77+Assumptions!$B$78))+Exit!$B$12*((Assumptions!$B$58*A11)/Acquisition!$B$10)),0),0)</f>
        <v>54370.637633333405</v>
      </c>
      <c r="E11" s="95">
        <f>IF(3&lt;=Exit!$B$6,1*'Equity Returns'!E5+((Assumptions!$B$58*A11)/Acquisition!$B$10)*'Equity Returns'!E6+IF(AND(Assumptions!$B$67=1,3=(INT((Assumptions!$B$68-1)/12)+1)),(Refinance!$B$11+Refinance!$B$13+Refinance!$B$12*((Assumptions!$B$58*A11)/Acquisition!$B$10)),0)+IF(3=Exit!$B$6,(Exit!$B$9*(1-(Assumptions!$B$77+Assumptions!$B$78))+Exit!$B$12*((Assumptions!$B$58*A11)/Acquisition!$B$10)),0),0)</f>
        <v>574740.35189791163</v>
      </c>
      <c r="F11" s="95">
        <f>IF(4&lt;=Exit!$B$6,1*'Equity Returns'!F5+((Assumptions!$B$58*A11)/Acquisition!$B$10)*'Equity Returns'!F6+IF(AND(Assumptions!$B$67=1,4=(INT((Assumptions!$B$68-1)/12)+1)),(Refinance!$B$11+Refinance!$B$13+Refinance!$B$12*((Assumptions!$B$58*A11)/Acquisition!$B$10)),0)+IF(4=Exit!$B$6,(Exit!$B$9*(1-(Assumptions!$B$77+Assumptions!$B$78))+Exit!$B$12*((Assumptions!$B$58*A11)/Acquisition!$B$10)),0),0)</f>
        <v>12226.186270830454</v>
      </c>
      <c r="G11" s="95">
        <f>IF(5&lt;=Exit!$B$6,1*'Equity Returns'!G5+((Assumptions!$B$58*A11)/Acquisition!$B$10)*'Equity Returns'!G6+IF(AND(Assumptions!$B$67=1,5=(INT((Assumptions!$B$68-1)/12)+1)),(Refinance!$B$11+Refinance!$B$13+Refinance!$B$12*((Assumptions!$B$58*A11)/Acquisition!$B$10)),0)+IF(5=Exit!$B$6,(Exit!$B$9*(1-(Assumptions!$B$77+Assumptions!$B$78))+Exit!$B$12*((Assumptions!$B$58*A11)/Acquisition!$B$10)),0),0)</f>
        <v>570228.0141673804</v>
      </c>
      <c r="H11" s="95">
        <f>IF(6&lt;=Exit!$B$6,1*'Equity Returns'!H5+((Assumptions!$B$58*A11)/Acquisition!$B$10)*'Equity Returns'!H6+IF(AND(Assumptions!$B$67=1,6=(INT((Assumptions!$B$68-1)/12)+1)),(Refinance!$B$11+Refinance!$B$13+Refinance!$B$12*((Assumptions!$B$58*A11)/Acquisition!$B$10)),0)+IF(6=Exit!$B$6,(Exit!$B$9*(1-(Assumptions!$B$77+Assumptions!$B$78))+Exit!$B$12*((Assumptions!$B$58*A11)/Acquisition!$B$10)),0),0)</f>
        <v>0</v>
      </c>
      <c r="I11" s="95">
        <f>IF(7&lt;=Exit!$B$6,1*'Equity Returns'!I5+((Assumptions!$B$58*A11)/Acquisition!$B$10)*'Equity Returns'!I6+IF(AND(Assumptions!$B$67=1,7=(INT((Assumptions!$B$68-1)/12)+1)),(Refinance!$B$11+Refinance!$B$13+Refinance!$B$12*((Assumptions!$B$58*A11)/Acquisition!$B$10)),0)+IF(7=Exit!$B$6,(Exit!$B$9*(1-(Assumptions!$B$77+Assumptions!$B$78))+Exit!$B$12*((Assumptions!$B$58*A11)/Acquisition!$B$10)),0),0)</f>
        <v>0</v>
      </c>
      <c r="J11" s="95">
        <f>IF(8&lt;=Exit!$B$6,1*'Equity Returns'!J5+((Assumptions!$B$58*A11)/Acquisition!$B$10)*'Equity Returns'!J6+IF(AND(Assumptions!$B$67=1,8=(INT((Assumptions!$B$68-1)/12)+1)),(Refinance!$B$11+Refinance!$B$13+Refinance!$B$12*((Assumptions!$B$58*A11)/Acquisition!$B$10)),0)+IF(8=Exit!$B$6,(Exit!$B$9*(1-(Assumptions!$B$77+Assumptions!$B$78))+Exit!$B$12*((Assumptions!$B$58*A11)/Acquisition!$B$10)),0),0)</f>
        <v>0</v>
      </c>
      <c r="K11" s="95">
        <f>IF(9&lt;=Exit!$B$6,1*'Equity Returns'!K5+((Assumptions!$B$58*A11)/Acquisition!$B$10)*'Equity Returns'!K6+IF(AND(Assumptions!$B$67=1,9=(INT((Assumptions!$B$68-1)/12)+1)),(Refinance!$B$11+Refinance!$B$13+Refinance!$B$12*((Assumptions!$B$58*A11)/Acquisition!$B$10)),0)+IF(9=Exit!$B$6,(Exit!$B$9*(1-(Assumptions!$B$77+Assumptions!$B$78))+Exit!$B$12*((Assumptions!$B$58*A11)/Acquisition!$B$10)),0),0)</f>
        <v>0</v>
      </c>
      <c r="L11" s="95">
        <f>IF(10&lt;=Exit!$B$6,1*'Equity Returns'!L5+((Assumptions!$B$58*A11)/Acquisition!$B$10)*'Equity Returns'!L6+IF(AND(Assumptions!$B$67=1,10=(INT((Assumptions!$B$68-1)/12)+1)),(Refinance!$B$11+Refinance!$B$13+Refinance!$B$12*((Assumptions!$B$58*A11)/Acquisition!$B$10)),0)+IF(10=Exit!$B$6,(Exit!$B$9*(1-(Assumptions!$B$77+Assumptions!$B$78))+Exit!$B$12*((Assumptions!$B$58*A11)/Acquisition!$B$10)),0),0)</f>
        <v>0</v>
      </c>
      <c r="M11" s="102">
        <f t="shared" si="0"/>
        <v>0.18770269359500436</v>
      </c>
      <c r="N11" s="103">
        <f t="shared" si="1"/>
        <v>1.9105290974351303</v>
      </c>
    </row>
    <row r="12" spans="1:14" x14ac:dyDescent="0.25">
      <c r="A12" s="101">
        <f>1.15*Assumptions!$B$8</f>
        <v>1495000</v>
      </c>
      <c r="B12" s="95">
        <f>-((A12*(1+Assumptions!$B$65)+Assumptions!$B$62*(Assumptions!$B$58*A12)+Assumptions!$B$56)-(Assumptions!$B$58*A12))</f>
        <v>-663865.00000000012</v>
      </c>
      <c r="C12" s="95">
        <f>IF(1&lt;=Exit!$B$6,1*'Equity Returns'!C5+((Assumptions!$B$58*A12)/Acquisition!$B$10)*'Equity Returns'!C6+IF(AND(Assumptions!$B$67=1,1=(INT((Assumptions!$B$68-1)/12)+1)),(Refinance!$B$11+Refinance!$B$13+Refinance!$B$12*((Assumptions!$B$58*A12)/Acquisition!$B$10)),0)+IF(1=Exit!$B$6,(Exit!$B$9*(1-(Assumptions!$B$77+Assumptions!$B$78))+Exit!$B$12*((Assumptions!$B$58*A12)/Acquisition!$B$10)),0),0)</f>
        <v>13202.41333333333</v>
      </c>
      <c r="D12" s="95">
        <f>IF(2&lt;=Exit!$B$6,1*'Equity Returns'!D5+((Assumptions!$B$58*A12)/Acquisition!$B$10)*'Equity Returns'!D6+IF(AND(Assumptions!$B$67=1,2=(INT((Assumptions!$B$68-1)/12)+1)),(Refinance!$B$11+Refinance!$B$13+Refinance!$B$12*((Assumptions!$B$58*A12)/Acquisition!$B$10)),0)+IF(2=Exit!$B$6,(Exit!$B$9*(1-(Assumptions!$B$77+Assumptions!$B$78))+Exit!$B$12*((Assumptions!$B$58*A12)/Acquisition!$B$10)),0),0)</f>
        <v>51413.137633333405</v>
      </c>
      <c r="E12" s="95">
        <f>IF(3&lt;=Exit!$B$6,1*'Equity Returns'!E5+((Assumptions!$B$58*A12)/Acquisition!$B$10)*'Equity Returns'!E6+IF(AND(Assumptions!$B$67=1,3=(INT((Assumptions!$B$68-1)/12)+1)),(Refinance!$B$11+Refinance!$B$13+Refinance!$B$12*((Assumptions!$B$58*A12)/Acquisition!$B$10)),0)+IF(3=Exit!$B$6,(Exit!$B$9*(1-(Assumptions!$B$77+Assumptions!$B$78))+Exit!$B$12*((Assumptions!$B$58*A12)/Acquisition!$B$10)),0),0)</f>
        <v>526082.49482698692</v>
      </c>
      <c r="F12" s="95">
        <f>IF(4&lt;=Exit!$B$6,1*'Equity Returns'!F5+((Assumptions!$B$58*A12)/Acquisition!$B$10)*'Equity Returns'!F6+IF(AND(Assumptions!$B$67=1,4=(INT((Assumptions!$B$68-1)/12)+1)),(Refinance!$B$11+Refinance!$B$13+Refinance!$B$12*((Assumptions!$B$58*A12)/Acquisition!$B$10)),0)+IF(4=Exit!$B$6,(Exit!$B$9*(1-(Assumptions!$B$77+Assumptions!$B$78))+Exit!$B$12*((Assumptions!$B$58*A12)/Acquisition!$B$10)),0),0)</f>
        <v>6714.9366805536411</v>
      </c>
      <c r="G12" s="95">
        <f>IF(5&lt;=Exit!$B$6,1*'Equity Returns'!G5+((Assumptions!$B$58*A12)/Acquisition!$B$10)*'Equity Returns'!G6+IF(AND(Assumptions!$B$67=1,5=(INT((Assumptions!$B$68-1)/12)+1)),(Refinance!$B$11+Refinance!$B$13+Refinance!$B$12*((Assumptions!$B$58*A12)/Acquisition!$B$10)),0)+IF(5=Exit!$B$6,(Exit!$B$9*(1-(Assumptions!$B$77+Assumptions!$B$78))+Exit!$B$12*((Assumptions!$B$58*A12)/Acquisition!$B$10)),0),0)</f>
        <v>490139.59708054509</v>
      </c>
      <c r="H12" s="95">
        <f>IF(6&lt;=Exit!$B$6,1*'Equity Returns'!H5+((Assumptions!$B$58*A12)/Acquisition!$B$10)*'Equity Returns'!H6+IF(AND(Assumptions!$B$67=1,6=(INT((Assumptions!$B$68-1)/12)+1)),(Refinance!$B$11+Refinance!$B$13+Refinance!$B$12*((Assumptions!$B$58*A12)/Acquisition!$B$10)),0)+IF(6=Exit!$B$6,(Exit!$B$9*(1-(Assumptions!$B$77+Assumptions!$B$78))+Exit!$B$12*((Assumptions!$B$58*A12)/Acquisition!$B$10)),0),0)</f>
        <v>0</v>
      </c>
      <c r="I12" s="95">
        <f>IF(7&lt;=Exit!$B$6,1*'Equity Returns'!I5+((Assumptions!$B$58*A12)/Acquisition!$B$10)*'Equity Returns'!I6+IF(AND(Assumptions!$B$67=1,7=(INT((Assumptions!$B$68-1)/12)+1)),(Refinance!$B$11+Refinance!$B$13+Refinance!$B$12*((Assumptions!$B$58*A12)/Acquisition!$B$10)),0)+IF(7=Exit!$B$6,(Exit!$B$9*(1-(Assumptions!$B$77+Assumptions!$B$78))+Exit!$B$12*((Assumptions!$B$58*A12)/Acquisition!$B$10)),0),0)</f>
        <v>0</v>
      </c>
      <c r="J12" s="95">
        <f>IF(8&lt;=Exit!$B$6,1*'Equity Returns'!J5+((Assumptions!$B$58*A12)/Acquisition!$B$10)*'Equity Returns'!J6+IF(AND(Assumptions!$B$67=1,8=(INT((Assumptions!$B$68-1)/12)+1)),(Refinance!$B$11+Refinance!$B$13+Refinance!$B$12*((Assumptions!$B$58*A12)/Acquisition!$B$10)),0)+IF(8=Exit!$B$6,(Exit!$B$9*(1-(Assumptions!$B$77+Assumptions!$B$78))+Exit!$B$12*((Assumptions!$B$58*A12)/Acquisition!$B$10)),0),0)</f>
        <v>0</v>
      </c>
      <c r="K12" s="95">
        <f>IF(9&lt;=Exit!$B$6,1*'Equity Returns'!K5+((Assumptions!$B$58*A12)/Acquisition!$B$10)*'Equity Returns'!K6+IF(AND(Assumptions!$B$67=1,9=(INT((Assumptions!$B$68-1)/12)+1)),(Refinance!$B$11+Refinance!$B$13+Refinance!$B$12*((Assumptions!$B$58*A12)/Acquisition!$B$10)),0)+IF(9=Exit!$B$6,(Exit!$B$9*(1-(Assumptions!$B$77+Assumptions!$B$78))+Exit!$B$12*((Assumptions!$B$58*A12)/Acquisition!$B$10)),0),0)</f>
        <v>0</v>
      </c>
      <c r="L12" s="95">
        <f>IF(10&lt;=Exit!$B$6,1*'Equity Returns'!L5+((Assumptions!$B$58*A12)/Acquisition!$B$10)*'Equity Returns'!L6+IF(AND(Assumptions!$B$67=1,10=(INT((Assumptions!$B$68-1)/12)+1)),(Refinance!$B$11+Refinance!$B$13+Refinance!$B$12*((Assumptions!$B$58*A12)/Acquisition!$B$10)),0)+IF(10=Exit!$B$6,(Exit!$B$9*(1-(Assumptions!$B$77+Assumptions!$B$78))+Exit!$B$12*((Assumptions!$B$58*A12)/Acquisition!$B$10)),0),0)</f>
        <v>0</v>
      </c>
      <c r="M12" s="102">
        <f t="shared" si="0"/>
        <v>0.14042307697751166</v>
      </c>
      <c r="N12" s="103">
        <f t="shared" si="1"/>
        <v>1.6382134614036774</v>
      </c>
    </row>
    <row r="15" spans="1:14" x14ac:dyDescent="0.25">
      <c r="A15" s="143" t="s">
        <v>433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</row>
    <row r="16" spans="1:14" x14ac:dyDescent="0.25">
      <c r="A16" s="19" t="s">
        <v>378</v>
      </c>
      <c r="B16" s="94" t="s">
        <v>404</v>
      </c>
      <c r="C16" s="94" t="s">
        <v>26</v>
      </c>
      <c r="D16" s="94" t="s">
        <v>27</v>
      </c>
      <c r="E16" s="94" t="s">
        <v>28</v>
      </c>
      <c r="F16" s="94" t="s">
        <v>29</v>
      </c>
      <c r="G16" s="94" t="s">
        <v>30</v>
      </c>
      <c r="H16" s="94" t="s">
        <v>31</v>
      </c>
      <c r="I16" s="94" t="s">
        <v>32</v>
      </c>
      <c r="J16" s="94" t="s">
        <v>33</v>
      </c>
      <c r="K16" s="94" t="s">
        <v>34</v>
      </c>
      <c r="L16" s="94" t="s">
        <v>35</v>
      </c>
      <c r="M16" s="100" t="s">
        <v>384</v>
      </c>
      <c r="N16" s="100" t="s">
        <v>405</v>
      </c>
    </row>
    <row r="17" spans="1:14" x14ac:dyDescent="0.25">
      <c r="A17" s="104">
        <f>Assumptions!$B$12+-0.015</f>
        <v>0.05</v>
      </c>
      <c r="B17" s="95">
        <f>-Acquisition!$B$23</f>
        <v>-600100</v>
      </c>
      <c r="C17" s="95">
        <f>IF(1&lt;=Exit!$B$6,1*'Equity Returns'!C5+1*'Equity Returns'!C6+IF(AND(Assumptions!$B$67=1,1=(INT((Assumptions!$B$68-1)/12)+1)),Refinance!$B$14,0)+IF(1=Exit!$B$6,(Exit!$B$7/A17*(1-(Assumptions!$B$77+Assumptions!$B$78))+Exit!$B$12),0),0)</f>
        <v>22074.913333333323</v>
      </c>
      <c r="D17" s="95">
        <f>IF(2&lt;=Exit!$B$6,1*'Equity Returns'!D5+1*'Equity Returns'!D6+IF(AND(Assumptions!$B$67=1,2=(INT((Assumptions!$B$68-1)/12)+1)),Refinance!$B$14,0)+IF(2=Exit!$B$6,(Exit!$B$7/A17*(1-(Assumptions!$B$77+Assumptions!$B$78))+Exit!$B$12),0),0)</f>
        <v>60285.637633333397</v>
      </c>
      <c r="E17" s="95">
        <f>IF(3&lt;=Exit!$B$6,1*'Equity Returns'!E5+1*'Equity Returns'!E6+IF(AND(Assumptions!$B$67=1,3=(INT((Assumptions!$B$68-1)/12)+1)),Refinance!$B$14,0)+IF(3=Exit!$B$6,(Exit!$B$7/A17*(1-(Assumptions!$B$77+Assumptions!$B$78))+Exit!$B$12),0),0)</f>
        <v>672056.0660397606</v>
      </c>
      <c r="F17" s="95">
        <f>IF(4&lt;=Exit!$B$6,1*'Equity Returns'!F5+1*'Equity Returns'!F6+IF(AND(Assumptions!$B$67=1,4=(INT((Assumptions!$B$68-1)/12)+1)),Refinance!$B$14,0)+IF(4=Exit!$B$6,(Exit!$B$7/A17*(1-(Assumptions!$B$77+Assumptions!$B$78))+Exit!$B$12),0),0)</f>
        <v>23248.685451384037</v>
      </c>
      <c r="G17" s="95">
        <f>IF(5&lt;=Exit!$B$6,1*'Equity Returns'!G5+1*'Equity Returns'!G6+IF(AND(Assumptions!$B$67=1,5=(INT((Assumptions!$B$68-1)/12)+1)),Refinance!$B$14,0)+IF(5=Exit!$B$6,(Exit!$B$7/A17*(1-(Assumptions!$B$77+Assumptions!$B$78))+Exit!$B$12),0),0)</f>
        <v>1388464.1724478505</v>
      </c>
      <c r="H17" s="95">
        <f>IF(6&lt;=Exit!$B$6,1*'Equity Returns'!H5+1*'Equity Returns'!H6+IF(AND(Assumptions!$B$67=1,6=(INT((Assumptions!$B$68-1)/12)+1)),Refinance!$B$14,0)+IF(6=Exit!$B$6,(Exit!$B$7/A17*(1-(Assumptions!$B$77+Assumptions!$B$78))+Exit!$B$12),0),0)</f>
        <v>0</v>
      </c>
      <c r="I17" s="95">
        <f>IF(7&lt;=Exit!$B$6,1*'Equity Returns'!I5+1*'Equity Returns'!I6+IF(AND(Assumptions!$B$67=1,7=(INT((Assumptions!$B$68-1)/12)+1)),Refinance!$B$14,0)+IF(7=Exit!$B$6,(Exit!$B$7/A17*(1-(Assumptions!$B$77+Assumptions!$B$78))+Exit!$B$12),0),0)</f>
        <v>0</v>
      </c>
      <c r="J17" s="95">
        <f>IF(8&lt;=Exit!$B$6,1*'Equity Returns'!J5+1*'Equity Returns'!J6+IF(AND(Assumptions!$B$67=1,8=(INT((Assumptions!$B$68-1)/12)+1)),Refinance!$B$14,0)+IF(8=Exit!$B$6,(Exit!$B$7/A17*(1-(Assumptions!$B$77+Assumptions!$B$78))+Exit!$B$12),0),0)</f>
        <v>0</v>
      </c>
      <c r="K17" s="95">
        <f>IF(9&lt;=Exit!$B$6,1*'Equity Returns'!K5+1*'Equity Returns'!K6+IF(AND(Assumptions!$B$67=1,9=(INT((Assumptions!$B$68-1)/12)+1)),Refinance!$B$14,0)+IF(9=Exit!$B$6,(Exit!$B$7/A17*(1-(Assumptions!$B$77+Assumptions!$B$78))+Exit!$B$12),0),0)</f>
        <v>0</v>
      </c>
      <c r="L17" s="95">
        <f>IF(10&lt;=Exit!$B$6,1*'Equity Returns'!L5+1*'Equity Returns'!L6+IF(AND(Assumptions!$B$67=1,10=(INT((Assumptions!$B$68-1)/12)+1)),Refinance!$B$14,0)+IF(10=Exit!$B$6,(Exit!$B$7/A17*(1-(Assumptions!$B$77+Assumptions!$B$78))+Exit!$B$12),0),0)</f>
        <v>0</v>
      </c>
      <c r="M17" s="102">
        <f t="shared" ref="M17:M23" si="2">IFERROR(IRR(B17:L17),0)</f>
        <v>0.3722385693397785</v>
      </c>
      <c r="N17" s="103">
        <f t="shared" ref="N17:N23" si="3">IFERROR(SUMIF(C17:L17,"&gt;0")/(-B17),0)</f>
        <v>3.6096141891445788</v>
      </c>
    </row>
    <row r="18" spans="1:14" x14ac:dyDescent="0.25">
      <c r="A18" s="104">
        <f>Assumptions!$B$12+-0.01</f>
        <v>5.5E-2</v>
      </c>
      <c r="B18" s="95">
        <f>-Acquisition!$B$23</f>
        <v>-600100</v>
      </c>
      <c r="C18" s="95">
        <f>IF(1&lt;=Exit!$B$6,1*'Equity Returns'!C5+1*'Equity Returns'!C6+IF(AND(Assumptions!$B$67=1,1=(INT((Assumptions!$B$68-1)/12)+1)),Refinance!$B$14,0)+IF(1=Exit!$B$6,(Exit!$B$7/A18*(1-(Assumptions!$B$77+Assumptions!$B$78))+Exit!$B$12),0),0)</f>
        <v>22074.913333333323</v>
      </c>
      <c r="D18" s="95">
        <f>IF(2&lt;=Exit!$B$6,1*'Equity Returns'!D5+1*'Equity Returns'!D6+IF(AND(Assumptions!$B$67=1,2=(INT((Assumptions!$B$68-1)/12)+1)),Refinance!$B$14,0)+IF(2=Exit!$B$6,(Exit!$B$7/A18*(1-(Assumptions!$B$77+Assumptions!$B$78))+Exit!$B$12),0),0)</f>
        <v>60285.637633333397</v>
      </c>
      <c r="E18" s="95">
        <f>IF(3&lt;=Exit!$B$6,1*'Equity Returns'!E5+1*'Equity Returns'!E6+IF(AND(Assumptions!$B$67=1,3=(INT((Assumptions!$B$68-1)/12)+1)),Refinance!$B$14,0)+IF(3=Exit!$B$6,(Exit!$B$7/A18*(1-(Assumptions!$B$77+Assumptions!$B$78))+Exit!$B$12),0),0)</f>
        <v>672056.0660397606</v>
      </c>
      <c r="F18" s="95">
        <f>IF(4&lt;=Exit!$B$6,1*'Equity Returns'!F5+1*'Equity Returns'!F6+IF(AND(Assumptions!$B$67=1,4=(INT((Assumptions!$B$68-1)/12)+1)),Refinance!$B$14,0)+IF(4=Exit!$B$6,(Exit!$B$7/A18*(1-(Assumptions!$B$77+Assumptions!$B$78))+Exit!$B$12),0),0)</f>
        <v>23248.685451384037</v>
      </c>
      <c r="G18" s="95">
        <f>IF(5&lt;=Exit!$B$6,1*'Equity Returns'!G5+1*'Equity Returns'!G6+IF(AND(Assumptions!$B$67=1,5=(INT((Assumptions!$B$68-1)/12)+1)),Refinance!$B$14,0)+IF(5=Exit!$B$6,(Exit!$B$7/A18*(1-(Assumptions!$B$77+Assumptions!$B$78))+Exit!$B$12),0),0)</f>
        <v>1129228.6811330505</v>
      </c>
      <c r="H18" s="95">
        <f>IF(6&lt;=Exit!$B$6,1*'Equity Returns'!H5+1*'Equity Returns'!H6+IF(AND(Assumptions!$B$67=1,6=(INT((Assumptions!$B$68-1)/12)+1)),Refinance!$B$14,0)+IF(6=Exit!$B$6,(Exit!$B$7/A18*(1-(Assumptions!$B$77+Assumptions!$B$78))+Exit!$B$12),0),0)</f>
        <v>0</v>
      </c>
      <c r="I18" s="95">
        <f>IF(7&lt;=Exit!$B$6,1*'Equity Returns'!I5+1*'Equity Returns'!I6+IF(AND(Assumptions!$B$67=1,7=(INT((Assumptions!$B$68-1)/12)+1)),Refinance!$B$14,0)+IF(7=Exit!$B$6,(Exit!$B$7/A18*(1-(Assumptions!$B$77+Assumptions!$B$78))+Exit!$B$12),0),0)</f>
        <v>0</v>
      </c>
      <c r="J18" s="95">
        <f>IF(8&lt;=Exit!$B$6,1*'Equity Returns'!J5+1*'Equity Returns'!J6+IF(AND(Assumptions!$B$67=1,8=(INT((Assumptions!$B$68-1)/12)+1)),Refinance!$B$14,0)+IF(8=Exit!$B$6,(Exit!$B$7/A18*(1-(Assumptions!$B$77+Assumptions!$B$78))+Exit!$B$12),0),0)</f>
        <v>0</v>
      </c>
      <c r="K18" s="95">
        <f>IF(9&lt;=Exit!$B$6,1*'Equity Returns'!K5+1*'Equity Returns'!K6+IF(AND(Assumptions!$B$67=1,9=(INT((Assumptions!$B$68-1)/12)+1)),Refinance!$B$14,0)+IF(9=Exit!$B$6,(Exit!$B$7/A18*(1-(Assumptions!$B$77+Assumptions!$B$78))+Exit!$B$12),0),0)</f>
        <v>0</v>
      </c>
      <c r="L18" s="95">
        <f>IF(10&lt;=Exit!$B$6,1*'Equity Returns'!L5+1*'Equity Returns'!L6+IF(AND(Assumptions!$B$67=1,10=(INT((Assumptions!$B$68-1)/12)+1)),Refinance!$B$14,0)+IF(10=Exit!$B$6,(Exit!$B$7/A18*(1-(Assumptions!$B$77+Assumptions!$B$78))+Exit!$B$12),0),0)</f>
        <v>0</v>
      </c>
      <c r="M18" s="102">
        <f t="shared" si="2"/>
        <v>0.33872259716243236</v>
      </c>
      <c r="N18" s="103">
        <f t="shared" si="3"/>
        <v>3.1776270348123008</v>
      </c>
    </row>
    <row r="19" spans="1:14" x14ac:dyDescent="0.25">
      <c r="A19" s="104">
        <f>Assumptions!$B$12+-0.005</f>
        <v>6.0000000000000005E-2</v>
      </c>
      <c r="B19" s="95">
        <f>-Acquisition!$B$23</f>
        <v>-600100</v>
      </c>
      <c r="C19" s="95">
        <f>IF(1&lt;=Exit!$B$6,1*'Equity Returns'!C5+1*'Equity Returns'!C6+IF(AND(Assumptions!$B$67=1,1=(INT((Assumptions!$B$68-1)/12)+1)),Refinance!$B$14,0)+IF(1=Exit!$B$6,(Exit!$B$7/A19*(1-(Assumptions!$B$77+Assumptions!$B$78))+Exit!$B$12),0),0)</f>
        <v>22074.913333333323</v>
      </c>
      <c r="D19" s="95">
        <f>IF(2&lt;=Exit!$B$6,1*'Equity Returns'!D5+1*'Equity Returns'!D6+IF(AND(Assumptions!$B$67=1,2=(INT((Assumptions!$B$68-1)/12)+1)),Refinance!$B$14,0)+IF(2=Exit!$B$6,(Exit!$B$7/A19*(1-(Assumptions!$B$77+Assumptions!$B$78))+Exit!$B$12),0),0)</f>
        <v>60285.637633333397</v>
      </c>
      <c r="E19" s="95">
        <f>IF(3&lt;=Exit!$B$6,1*'Equity Returns'!E5+1*'Equity Returns'!E6+IF(AND(Assumptions!$B$67=1,3=(INT((Assumptions!$B$68-1)/12)+1)),Refinance!$B$14,0)+IF(3=Exit!$B$6,(Exit!$B$7/A19*(1-(Assumptions!$B$77+Assumptions!$B$78))+Exit!$B$12),0),0)</f>
        <v>672056.0660397606</v>
      </c>
      <c r="F19" s="95">
        <f>IF(4&lt;=Exit!$B$6,1*'Equity Returns'!F5+1*'Equity Returns'!F6+IF(AND(Assumptions!$B$67=1,4=(INT((Assumptions!$B$68-1)/12)+1)),Refinance!$B$14,0)+IF(4=Exit!$B$6,(Exit!$B$7/A19*(1-(Assumptions!$B$77+Assumptions!$B$78))+Exit!$B$12),0),0)</f>
        <v>23248.685451384037</v>
      </c>
      <c r="G19" s="95">
        <f>IF(5&lt;=Exit!$B$6,1*'Equity Returns'!G5+1*'Equity Returns'!G6+IF(AND(Assumptions!$B$67=1,5=(INT((Assumptions!$B$68-1)/12)+1)),Refinance!$B$14,0)+IF(5=Exit!$B$6,(Exit!$B$7/A19*(1-(Assumptions!$B$77+Assumptions!$B$78))+Exit!$B$12),0),0)</f>
        <v>913199.10503738327</v>
      </c>
      <c r="H19" s="95">
        <f>IF(6&lt;=Exit!$B$6,1*'Equity Returns'!H5+1*'Equity Returns'!H6+IF(AND(Assumptions!$B$67=1,6=(INT((Assumptions!$B$68-1)/12)+1)),Refinance!$B$14,0)+IF(6=Exit!$B$6,(Exit!$B$7/A19*(1-(Assumptions!$B$77+Assumptions!$B$78))+Exit!$B$12),0),0)</f>
        <v>0</v>
      </c>
      <c r="I19" s="95">
        <f>IF(7&lt;=Exit!$B$6,1*'Equity Returns'!I5+1*'Equity Returns'!I6+IF(AND(Assumptions!$B$67=1,7=(INT((Assumptions!$B$68-1)/12)+1)),Refinance!$B$14,0)+IF(7=Exit!$B$6,(Exit!$B$7/A19*(1-(Assumptions!$B$77+Assumptions!$B$78))+Exit!$B$12),0),0)</f>
        <v>0</v>
      </c>
      <c r="J19" s="95">
        <f>IF(8&lt;=Exit!$B$6,1*'Equity Returns'!J5+1*'Equity Returns'!J6+IF(AND(Assumptions!$B$67=1,8=(INT((Assumptions!$B$68-1)/12)+1)),Refinance!$B$14,0)+IF(8=Exit!$B$6,(Exit!$B$7/A19*(1-(Assumptions!$B$77+Assumptions!$B$78))+Exit!$B$12),0),0)</f>
        <v>0</v>
      </c>
      <c r="K19" s="95">
        <f>IF(9&lt;=Exit!$B$6,1*'Equity Returns'!K5+1*'Equity Returns'!K6+IF(AND(Assumptions!$B$67=1,9=(INT((Assumptions!$B$68-1)/12)+1)),Refinance!$B$14,0)+IF(9=Exit!$B$6,(Exit!$B$7/A19*(1-(Assumptions!$B$77+Assumptions!$B$78))+Exit!$B$12),0),0)</f>
        <v>0</v>
      </c>
      <c r="L19" s="95">
        <f>IF(10&lt;=Exit!$B$6,1*'Equity Returns'!L5+1*'Equity Returns'!L6+IF(AND(Assumptions!$B$67=1,10=(INT((Assumptions!$B$68-1)/12)+1)),Refinance!$B$14,0)+IF(10=Exit!$B$6,(Exit!$B$7/A19*(1-(Assumptions!$B$77+Assumptions!$B$78))+Exit!$B$12),0),0)</f>
        <v>0</v>
      </c>
      <c r="M19" s="102">
        <f t="shared" si="2"/>
        <v>0.30728935811658475</v>
      </c>
      <c r="N19" s="103">
        <f t="shared" si="3"/>
        <v>2.8176377395354018</v>
      </c>
    </row>
    <row r="20" spans="1:14" x14ac:dyDescent="0.25">
      <c r="A20" s="104">
        <f>Assumptions!$B$12+0</f>
        <v>6.5000000000000002E-2</v>
      </c>
      <c r="B20" s="95">
        <f>-Acquisition!$B$23</f>
        <v>-600100</v>
      </c>
      <c r="C20" s="95">
        <f>IF(1&lt;=Exit!$B$6,1*'Equity Returns'!C5+1*'Equity Returns'!C6+IF(AND(Assumptions!$B$67=1,1=(INT((Assumptions!$B$68-1)/12)+1)),Refinance!$B$14,0)+IF(1=Exit!$B$6,(Exit!$B$7/A20*(1-(Assumptions!$B$77+Assumptions!$B$78))+Exit!$B$12),0),0)</f>
        <v>22074.913333333323</v>
      </c>
      <c r="D20" s="95">
        <f>IF(2&lt;=Exit!$B$6,1*'Equity Returns'!D5+1*'Equity Returns'!D6+IF(AND(Assumptions!$B$67=1,2=(INT((Assumptions!$B$68-1)/12)+1)),Refinance!$B$14,0)+IF(2=Exit!$B$6,(Exit!$B$7/A20*(1-(Assumptions!$B$77+Assumptions!$B$78))+Exit!$B$12),0),0)</f>
        <v>60285.637633333397</v>
      </c>
      <c r="E20" s="95">
        <f>IF(3&lt;=Exit!$B$6,1*'Equity Returns'!E5+1*'Equity Returns'!E6+IF(AND(Assumptions!$B$67=1,3=(INT((Assumptions!$B$68-1)/12)+1)),Refinance!$B$14,0)+IF(3=Exit!$B$6,(Exit!$B$7/A20*(1-(Assumptions!$B$77+Assumptions!$B$78))+Exit!$B$12),0),0)</f>
        <v>672056.0660397606</v>
      </c>
      <c r="F20" s="95">
        <f>IF(4&lt;=Exit!$B$6,1*'Equity Returns'!F5+1*'Equity Returns'!F6+IF(AND(Assumptions!$B$67=1,4=(INT((Assumptions!$B$68-1)/12)+1)),Refinance!$B$14,0)+IF(4=Exit!$B$6,(Exit!$B$7/A20*(1-(Assumptions!$B$77+Assumptions!$B$78))+Exit!$B$12),0),0)</f>
        <v>23248.685451384037</v>
      </c>
      <c r="G20" s="95">
        <f>IF(5&lt;=Exit!$B$6,1*'Equity Returns'!G5+1*'Equity Returns'!G6+IF(AND(Assumptions!$B$67=1,5=(INT((Assumptions!$B$68-1)/12)+1)),Refinance!$B$14,0)+IF(5=Exit!$B$6,(Exit!$B$7/A20*(1-(Assumptions!$B$77+Assumptions!$B$78))+Exit!$B$12),0),0)</f>
        <v>730404.84834105056</v>
      </c>
      <c r="H20" s="95">
        <f>IF(6&lt;=Exit!$B$6,1*'Equity Returns'!H5+1*'Equity Returns'!H6+IF(AND(Assumptions!$B$67=1,6=(INT((Assumptions!$B$68-1)/12)+1)),Refinance!$B$14,0)+IF(6=Exit!$B$6,(Exit!$B$7/A20*(1-(Assumptions!$B$77+Assumptions!$B$78))+Exit!$B$12),0),0)</f>
        <v>0</v>
      </c>
      <c r="I20" s="95">
        <f>IF(7&lt;=Exit!$B$6,1*'Equity Returns'!I5+1*'Equity Returns'!I6+IF(AND(Assumptions!$B$67=1,7=(INT((Assumptions!$B$68-1)/12)+1)),Refinance!$B$14,0)+IF(7=Exit!$B$6,(Exit!$B$7/A20*(1-(Assumptions!$B$77+Assumptions!$B$78))+Exit!$B$12),0),0)</f>
        <v>0</v>
      </c>
      <c r="J20" s="95">
        <f>IF(8&lt;=Exit!$B$6,1*'Equity Returns'!J5+1*'Equity Returns'!J6+IF(AND(Assumptions!$B$67=1,8=(INT((Assumptions!$B$68-1)/12)+1)),Refinance!$B$14,0)+IF(8=Exit!$B$6,(Exit!$B$7/A20*(1-(Assumptions!$B$77+Assumptions!$B$78))+Exit!$B$12),0),0)</f>
        <v>0</v>
      </c>
      <c r="K20" s="95">
        <f>IF(9&lt;=Exit!$B$6,1*'Equity Returns'!K5+1*'Equity Returns'!K6+IF(AND(Assumptions!$B$67=1,9=(INT((Assumptions!$B$68-1)/12)+1)),Refinance!$B$14,0)+IF(9=Exit!$B$6,(Exit!$B$7/A20*(1-(Assumptions!$B$77+Assumptions!$B$78))+Exit!$B$12),0),0)</f>
        <v>0</v>
      </c>
      <c r="L20" s="95">
        <f>IF(10&lt;=Exit!$B$6,1*'Equity Returns'!L5+1*'Equity Returns'!L6+IF(AND(Assumptions!$B$67=1,10=(INT((Assumptions!$B$68-1)/12)+1)),Refinance!$B$14,0)+IF(10=Exit!$B$6,(Exit!$B$7/A20*(1-(Assumptions!$B$77+Assumptions!$B$78))+Exit!$B$12),0),0)</f>
        <v>0</v>
      </c>
      <c r="M20" s="102">
        <f t="shared" si="2"/>
        <v>0.27741656061743103</v>
      </c>
      <c r="N20" s="103">
        <f t="shared" si="3"/>
        <v>2.5130314127626425</v>
      </c>
    </row>
    <row r="21" spans="1:14" x14ac:dyDescent="0.25">
      <c r="A21" s="104">
        <f>Assumptions!$B$12+0.005</f>
        <v>7.0000000000000007E-2</v>
      </c>
      <c r="B21" s="95">
        <f>-Acquisition!$B$23</f>
        <v>-600100</v>
      </c>
      <c r="C21" s="95">
        <f>IF(1&lt;=Exit!$B$6,1*'Equity Returns'!C5+1*'Equity Returns'!C6+IF(AND(Assumptions!$B$67=1,1=(INT((Assumptions!$B$68-1)/12)+1)),Refinance!$B$14,0)+IF(1=Exit!$B$6,(Exit!$B$7/A21*(1-(Assumptions!$B$77+Assumptions!$B$78))+Exit!$B$12),0),0)</f>
        <v>22074.913333333323</v>
      </c>
      <c r="D21" s="95">
        <f>IF(2&lt;=Exit!$B$6,1*'Equity Returns'!D5+1*'Equity Returns'!D6+IF(AND(Assumptions!$B$67=1,2=(INT((Assumptions!$B$68-1)/12)+1)),Refinance!$B$14,0)+IF(2=Exit!$B$6,(Exit!$B$7/A21*(1-(Assumptions!$B$77+Assumptions!$B$78))+Exit!$B$12),0),0)</f>
        <v>60285.637633333397</v>
      </c>
      <c r="E21" s="95">
        <f>IF(3&lt;=Exit!$B$6,1*'Equity Returns'!E5+1*'Equity Returns'!E6+IF(AND(Assumptions!$B$67=1,3=(INT((Assumptions!$B$68-1)/12)+1)),Refinance!$B$14,0)+IF(3=Exit!$B$6,(Exit!$B$7/A21*(1-(Assumptions!$B$77+Assumptions!$B$78))+Exit!$B$12),0),0)</f>
        <v>672056.0660397606</v>
      </c>
      <c r="F21" s="95">
        <f>IF(4&lt;=Exit!$B$6,1*'Equity Returns'!F5+1*'Equity Returns'!F6+IF(AND(Assumptions!$B$67=1,4=(INT((Assumptions!$B$68-1)/12)+1)),Refinance!$B$14,0)+IF(4=Exit!$B$6,(Exit!$B$7/A21*(1-(Assumptions!$B$77+Assumptions!$B$78))+Exit!$B$12),0),0)</f>
        <v>23248.685451384037</v>
      </c>
      <c r="G21" s="95">
        <f>IF(5&lt;=Exit!$B$6,1*'Equity Returns'!G5+1*'Equity Returns'!G6+IF(AND(Assumptions!$B$67=1,5=(INT((Assumptions!$B$68-1)/12)+1)),Refinance!$B$14,0)+IF(5=Exit!$B$6,(Exit!$B$7/A21*(1-(Assumptions!$B$77+Assumptions!$B$78))+Exit!$B$12),0),0)</f>
        <v>573724.05688704993</v>
      </c>
      <c r="H21" s="95">
        <f>IF(6&lt;=Exit!$B$6,1*'Equity Returns'!H5+1*'Equity Returns'!H6+IF(AND(Assumptions!$B$67=1,6=(INT((Assumptions!$B$68-1)/12)+1)),Refinance!$B$14,0)+IF(6=Exit!$B$6,(Exit!$B$7/A21*(1-(Assumptions!$B$77+Assumptions!$B$78))+Exit!$B$12),0),0)</f>
        <v>0</v>
      </c>
      <c r="I21" s="95">
        <f>IF(7&lt;=Exit!$B$6,1*'Equity Returns'!I5+1*'Equity Returns'!I6+IF(AND(Assumptions!$B$67=1,7=(INT((Assumptions!$B$68-1)/12)+1)),Refinance!$B$14,0)+IF(7=Exit!$B$6,(Exit!$B$7/A21*(1-(Assumptions!$B$77+Assumptions!$B$78))+Exit!$B$12),0),0)</f>
        <v>0</v>
      </c>
      <c r="J21" s="95">
        <f>IF(8&lt;=Exit!$B$6,1*'Equity Returns'!J5+1*'Equity Returns'!J6+IF(AND(Assumptions!$B$67=1,8=(INT((Assumptions!$B$68-1)/12)+1)),Refinance!$B$14,0)+IF(8=Exit!$B$6,(Exit!$B$7/A21*(1-(Assumptions!$B$77+Assumptions!$B$78))+Exit!$B$12),0),0)</f>
        <v>0</v>
      </c>
      <c r="K21" s="95">
        <f>IF(9&lt;=Exit!$B$6,1*'Equity Returns'!K5+1*'Equity Returns'!K6+IF(AND(Assumptions!$B$67=1,9=(INT((Assumptions!$B$68-1)/12)+1)),Refinance!$B$14,0)+IF(9=Exit!$B$6,(Exit!$B$7/A21*(1-(Assumptions!$B$77+Assumptions!$B$78))+Exit!$B$12),0),0)</f>
        <v>0</v>
      </c>
      <c r="L21" s="95">
        <f>IF(10&lt;=Exit!$B$6,1*'Equity Returns'!L5+1*'Equity Returns'!L6+IF(AND(Assumptions!$B$67=1,10=(INT((Assumptions!$B$68-1)/12)+1)),Refinance!$B$14,0)+IF(10=Exit!$B$6,(Exit!$B$7/A21*(1-(Assumptions!$B$77+Assumptions!$B$78))+Exit!$B$12),0),0)</f>
        <v>0</v>
      </c>
      <c r="M21" s="102">
        <f t="shared" si="2"/>
        <v>0.24867101706993244</v>
      </c>
      <c r="N21" s="103">
        <f t="shared" si="3"/>
        <v>2.2519402755288476</v>
      </c>
    </row>
    <row r="22" spans="1:14" x14ac:dyDescent="0.25">
      <c r="A22" s="104">
        <f>Assumptions!$B$12+0.01</f>
        <v>7.4999999999999997E-2</v>
      </c>
      <c r="B22" s="95">
        <f>-Acquisition!$B$23</f>
        <v>-600100</v>
      </c>
      <c r="C22" s="95">
        <f>IF(1&lt;=Exit!$B$6,1*'Equity Returns'!C5+1*'Equity Returns'!C6+IF(AND(Assumptions!$B$67=1,1=(INT((Assumptions!$B$68-1)/12)+1)),Refinance!$B$14,0)+IF(1=Exit!$B$6,(Exit!$B$7/A22*(1-(Assumptions!$B$77+Assumptions!$B$78))+Exit!$B$12),0),0)</f>
        <v>22074.913333333323</v>
      </c>
      <c r="D22" s="95">
        <f>IF(2&lt;=Exit!$B$6,1*'Equity Returns'!D5+1*'Equity Returns'!D6+IF(AND(Assumptions!$B$67=1,2=(INT((Assumptions!$B$68-1)/12)+1)),Refinance!$B$14,0)+IF(2=Exit!$B$6,(Exit!$B$7/A22*(1-(Assumptions!$B$77+Assumptions!$B$78))+Exit!$B$12),0),0)</f>
        <v>60285.637633333397</v>
      </c>
      <c r="E22" s="95">
        <f>IF(3&lt;=Exit!$B$6,1*'Equity Returns'!E5+1*'Equity Returns'!E6+IF(AND(Assumptions!$B$67=1,3=(INT((Assumptions!$B$68-1)/12)+1)),Refinance!$B$14,0)+IF(3=Exit!$B$6,(Exit!$B$7/A22*(1-(Assumptions!$B$77+Assumptions!$B$78))+Exit!$B$12),0),0)</f>
        <v>672056.0660397606</v>
      </c>
      <c r="F22" s="95">
        <f>IF(4&lt;=Exit!$B$6,1*'Equity Returns'!F5+1*'Equity Returns'!F6+IF(AND(Assumptions!$B$67=1,4=(INT((Assumptions!$B$68-1)/12)+1)),Refinance!$B$14,0)+IF(4=Exit!$B$6,(Exit!$B$7/A22*(1-(Assumptions!$B$77+Assumptions!$B$78))+Exit!$B$12),0),0)</f>
        <v>23248.685451384037</v>
      </c>
      <c r="G22" s="95">
        <f>IF(5&lt;=Exit!$B$6,1*'Equity Returns'!G5+1*'Equity Returns'!G6+IF(AND(Assumptions!$B$67=1,5=(INT((Assumptions!$B$68-1)/12)+1)),Refinance!$B$14,0)+IF(5=Exit!$B$6,(Exit!$B$7/A22*(1-(Assumptions!$B$77+Assumptions!$B$78))+Exit!$B$12),0),0)</f>
        <v>437934.03762691654</v>
      </c>
      <c r="H22" s="95">
        <f>IF(6&lt;=Exit!$B$6,1*'Equity Returns'!H5+1*'Equity Returns'!H6+IF(AND(Assumptions!$B$67=1,6=(INT((Assumptions!$B$68-1)/12)+1)),Refinance!$B$14,0)+IF(6=Exit!$B$6,(Exit!$B$7/A22*(1-(Assumptions!$B$77+Assumptions!$B$78))+Exit!$B$12),0),0)</f>
        <v>0</v>
      </c>
      <c r="I22" s="95">
        <f>IF(7&lt;=Exit!$B$6,1*'Equity Returns'!I5+1*'Equity Returns'!I6+IF(AND(Assumptions!$B$67=1,7=(INT((Assumptions!$B$68-1)/12)+1)),Refinance!$B$14,0)+IF(7=Exit!$B$6,(Exit!$B$7/A22*(1-(Assumptions!$B$77+Assumptions!$B$78))+Exit!$B$12),0),0)</f>
        <v>0</v>
      </c>
      <c r="J22" s="95">
        <f>IF(8&lt;=Exit!$B$6,1*'Equity Returns'!J5+1*'Equity Returns'!J6+IF(AND(Assumptions!$B$67=1,8=(INT((Assumptions!$B$68-1)/12)+1)),Refinance!$B$14,0)+IF(8=Exit!$B$6,(Exit!$B$7/A22*(1-(Assumptions!$B$77+Assumptions!$B$78))+Exit!$B$12),0),0)</f>
        <v>0</v>
      </c>
      <c r="K22" s="95">
        <f>IF(9&lt;=Exit!$B$6,1*'Equity Returns'!K5+1*'Equity Returns'!K6+IF(AND(Assumptions!$B$67=1,9=(INT((Assumptions!$B$68-1)/12)+1)),Refinance!$B$14,0)+IF(9=Exit!$B$6,(Exit!$B$7/A22*(1-(Assumptions!$B$77+Assumptions!$B$78))+Exit!$B$12),0),0)</f>
        <v>0</v>
      </c>
      <c r="L22" s="95">
        <f>IF(10&lt;=Exit!$B$6,1*'Equity Returns'!L5+1*'Equity Returns'!L6+IF(AND(Assumptions!$B$67=1,10=(INT((Assumptions!$B$68-1)/12)+1)),Refinance!$B$14,0)+IF(10=Exit!$B$6,(Exit!$B$7/A22*(1-(Assumptions!$B$77+Assumptions!$B$78))+Exit!$B$12),0),0)</f>
        <v>0</v>
      </c>
      <c r="M22" s="102">
        <f t="shared" si="2"/>
        <v>0.2206716318013815</v>
      </c>
      <c r="N22" s="103">
        <f t="shared" si="3"/>
        <v>2.0256612899262252</v>
      </c>
    </row>
    <row r="23" spans="1:14" x14ac:dyDescent="0.25">
      <c r="A23" s="104">
        <f>Assumptions!$B$12+0.015</f>
        <v>0.08</v>
      </c>
      <c r="B23" s="95">
        <f>-Acquisition!$B$23</f>
        <v>-600100</v>
      </c>
      <c r="C23" s="95">
        <f>IF(1&lt;=Exit!$B$6,1*'Equity Returns'!C5+1*'Equity Returns'!C6+IF(AND(Assumptions!$B$67=1,1=(INT((Assumptions!$B$68-1)/12)+1)),Refinance!$B$14,0)+IF(1=Exit!$B$6,(Exit!$B$7/A23*(1-(Assumptions!$B$77+Assumptions!$B$78))+Exit!$B$12),0),0)</f>
        <v>22074.913333333323</v>
      </c>
      <c r="D23" s="95">
        <f>IF(2&lt;=Exit!$B$6,1*'Equity Returns'!D5+1*'Equity Returns'!D6+IF(AND(Assumptions!$B$67=1,2=(INT((Assumptions!$B$68-1)/12)+1)),Refinance!$B$14,0)+IF(2=Exit!$B$6,(Exit!$B$7/A23*(1-(Assumptions!$B$77+Assumptions!$B$78))+Exit!$B$12),0),0)</f>
        <v>60285.637633333397</v>
      </c>
      <c r="E23" s="95">
        <f>IF(3&lt;=Exit!$B$6,1*'Equity Returns'!E5+1*'Equity Returns'!E6+IF(AND(Assumptions!$B$67=1,3=(INT((Assumptions!$B$68-1)/12)+1)),Refinance!$B$14,0)+IF(3=Exit!$B$6,(Exit!$B$7/A23*(1-(Assumptions!$B$77+Assumptions!$B$78))+Exit!$B$12),0),0)</f>
        <v>672056.0660397606</v>
      </c>
      <c r="F23" s="95">
        <f>IF(4&lt;=Exit!$B$6,1*'Equity Returns'!F5+1*'Equity Returns'!F6+IF(AND(Assumptions!$B$67=1,4=(INT((Assumptions!$B$68-1)/12)+1)),Refinance!$B$14,0)+IF(4=Exit!$B$6,(Exit!$B$7/A23*(1-(Assumptions!$B$77+Assumptions!$B$78))+Exit!$B$12),0),0)</f>
        <v>23248.685451384037</v>
      </c>
      <c r="G23" s="95">
        <f>IF(5&lt;=Exit!$B$6,1*'Equity Returns'!G5+1*'Equity Returns'!G6+IF(AND(Assumptions!$B$67=1,5=(INT((Assumptions!$B$68-1)/12)+1)),Refinance!$B$14,0)+IF(5=Exit!$B$6,(Exit!$B$7/A23*(1-(Assumptions!$B$77+Assumptions!$B$78))+Exit!$B$12),0),0)</f>
        <v>319117.77077429974</v>
      </c>
      <c r="H23" s="95">
        <f>IF(6&lt;=Exit!$B$6,1*'Equity Returns'!H5+1*'Equity Returns'!H6+IF(AND(Assumptions!$B$67=1,6=(INT((Assumptions!$B$68-1)/12)+1)),Refinance!$B$14,0)+IF(6=Exit!$B$6,(Exit!$B$7/A23*(1-(Assumptions!$B$77+Assumptions!$B$78))+Exit!$B$12),0),0)</f>
        <v>0</v>
      </c>
      <c r="I23" s="95">
        <f>IF(7&lt;=Exit!$B$6,1*'Equity Returns'!I5+1*'Equity Returns'!I6+IF(AND(Assumptions!$B$67=1,7=(INT((Assumptions!$B$68-1)/12)+1)),Refinance!$B$14,0)+IF(7=Exit!$B$6,(Exit!$B$7/A23*(1-(Assumptions!$B$77+Assumptions!$B$78))+Exit!$B$12),0),0)</f>
        <v>0</v>
      </c>
      <c r="J23" s="95">
        <f>IF(8&lt;=Exit!$B$6,1*'Equity Returns'!J5+1*'Equity Returns'!J6+IF(AND(Assumptions!$B$67=1,8=(INT((Assumptions!$B$68-1)/12)+1)),Refinance!$B$14,0)+IF(8=Exit!$B$6,(Exit!$B$7/A23*(1-(Assumptions!$B$77+Assumptions!$B$78))+Exit!$B$12),0),0)</f>
        <v>0</v>
      </c>
      <c r="K23" s="95">
        <f>IF(9&lt;=Exit!$B$6,1*'Equity Returns'!K5+1*'Equity Returns'!K6+IF(AND(Assumptions!$B$67=1,9=(INT((Assumptions!$B$68-1)/12)+1)),Refinance!$B$14,0)+IF(9=Exit!$B$6,(Exit!$B$7/A23*(1-(Assumptions!$B$77+Assumptions!$B$78))+Exit!$B$12),0),0)</f>
        <v>0</v>
      </c>
      <c r="L23" s="95">
        <f>IF(10&lt;=Exit!$B$6,1*'Equity Returns'!L5+1*'Equity Returns'!L6+IF(AND(Assumptions!$B$67=1,10=(INT((Assumptions!$B$68-1)/12)+1)),Refinance!$B$14,0)+IF(10=Exit!$B$6,(Exit!$B$7/A23*(1-(Assumptions!$B$77+Assumptions!$B$78))+Exit!$B$12),0),0)</f>
        <v>0</v>
      </c>
      <c r="M23" s="102">
        <f t="shared" si="2"/>
        <v>0.19305943475561316</v>
      </c>
      <c r="N23" s="103">
        <f t="shared" si="3"/>
        <v>1.827667177523931</v>
      </c>
    </row>
    <row r="26" spans="1:14" x14ac:dyDescent="0.25">
      <c r="A26" s="143" t="s">
        <v>434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</row>
    <row r="27" spans="1:14" x14ac:dyDescent="0.25">
      <c r="A27" s="19" t="s">
        <v>435</v>
      </c>
      <c r="B27" s="94" t="s">
        <v>404</v>
      </c>
      <c r="C27" s="94" t="s">
        <v>26</v>
      </c>
      <c r="D27" s="94" t="s">
        <v>27</v>
      </c>
      <c r="E27" s="94" t="s">
        <v>28</v>
      </c>
      <c r="F27" s="94" t="s">
        <v>29</v>
      </c>
      <c r="G27" s="94" t="s">
        <v>30</v>
      </c>
      <c r="H27" s="94" t="s">
        <v>31</v>
      </c>
      <c r="I27" s="94" t="s">
        <v>32</v>
      </c>
      <c r="J27" s="94" t="s">
        <v>33</v>
      </c>
      <c r="K27" s="94" t="s">
        <v>34</v>
      </c>
      <c r="L27" s="94" t="s">
        <v>35</v>
      </c>
      <c r="M27" s="100" t="s">
        <v>384</v>
      </c>
      <c r="N27" s="100" t="s">
        <v>405</v>
      </c>
    </row>
    <row r="28" spans="1:14" x14ac:dyDescent="0.25">
      <c r="A28" s="104">
        <f>Assumptions!$B$10+-0.015</f>
        <v>1.4999999999999999E-2</v>
      </c>
      <c r="B28" s="95">
        <f>-Acquisition!$B$23</f>
        <v>-600100</v>
      </c>
      <c r="C28" s="95">
        <f>IF(1&lt;=Exit!$B$6,((1+A28)/(1+Assumptions!$B$10))^(1-1)*'Equity Returns'!C5+1*'Equity Returns'!C6+IF(AND(Assumptions!$B$67=1,1=(INT((Assumptions!$B$68-1)/12)+1)),((Refinance!$B$11+Refinance!$B$13)*((1+A28)/(1+Assumptions!$B$10))^((INT((Assumptions!$B$68-1)/12)+1)-1)+Refinance!$B$12),0)+IF(1=Exit!$B$6,(Exit!$B$9*((1+A28)/(1+Assumptions!$B$10))^(Exit!$B$6-1)*(1-(Assumptions!$B$77+Assumptions!$B$78))+Exit!$B$12),0),0)</f>
        <v>22074.913333333323</v>
      </c>
      <c r="D28" s="95">
        <f>IF(2&lt;=Exit!$B$6,((1+A28)/(1+Assumptions!$B$10))^(2-1)*'Equity Returns'!D5+1*'Equity Returns'!D6+IF(AND(Assumptions!$B$67=1,2=(INT((Assumptions!$B$68-1)/12)+1)),((Refinance!$B$11+Refinance!$B$13)*((1+A28)/(1+Assumptions!$B$10))^((INT((Assumptions!$B$68-1)/12)+1)-1)+Refinance!$B$12),0)+IF(2=Exit!$B$6,(Exit!$B$9*((1+A28)/(1+Assumptions!$B$10))^(Exit!$B$6-1)*(1-(Assumptions!$B$77+Assumptions!$B$78))+Exit!$B$12),0),0)</f>
        <v>58546.283687216877</v>
      </c>
      <c r="E28" s="95">
        <f>IF(3&lt;=Exit!$B$6,((1+A28)/(1+Assumptions!$B$10))^(3-1)*'Equity Returns'!E5+1*'Equity Returns'!E6+IF(AND(Assumptions!$B$67=1,3=(INT((Assumptions!$B$68-1)/12)+1)),((Refinance!$B$11+Refinance!$B$13)*((1+A28)/(1+Assumptions!$B$10))^((INT((Assumptions!$B$68-1)/12)+1)-1)+Refinance!$B$12),0)+IF(3=Exit!$B$6,(Exit!$B$9*((1+A28)/(1+Assumptions!$B$10))^(Exit!$B$6-1)*(1-(Assumptions!$B$77+Assumptions!$B$78))+Exit!$B$12),0),0)</f>
        <v>624486.15828334412</v>
      </c>
      <c r="F28" s="95">
        <f>IF(4&lt;=Exit!$B$6,((1+A28)/(1+Assumptions!$B$10))^(4-1)*'Equity Returns'!F5+1*'Equity Returns'!F6+IF(AND(Assumptions!$B$67=1,4=(INT((Assumptions!$B$68-1)/12)+1)),((Refinance!$B$11+Refinance!$B$13)*((1+A28)/(1+Assumptions!$B$10))^((INT((Assumptions!$B$68-1)/12)+1)-1)+Refinance!$B$12),0)+IF(4=Exit!$B$6,(Exit!$B$9*((1+A28)/(1+Assumptions!$B$10))^(Exit!$B$6-1)*(1-(Assumptions!$B$77+Assumptions!$B$78))+Exit!$B$12),0),0)</f>
        <v>17501.821881039476</v>
      </c>
      <c r="G28" s="95">
        <f>IF(5&lt;=Exit!$B$6,((1+A28)/(1+Assumptions!$B$10))^(5-1)*'Equity Returns'!G5+1*'Equity Returns'!G6+IF(AND(Assumptions!$B$67=1,5=(INT((Assumptions!$B$68-1)/12)+1)),((Refinance!$B$11+Refinance!$B$13)*((1+A28)/(1+Assumptions!$B$10))^((INT((Assumptions!$B$68-1)/12)+1)-1)+Refinance!$B$12),0)+IF(5=Exit!$B$6,(Exit!$B$9*((1+A28)/(1+Assumptions!$B$10))^(Exit!$B$6-1)*(1-(Assumptions!$B$77+Assumptions!$B$78))+Exit!$B$12),0),0)</f>
        <v>597489.09250173392</v>
      </c>
      <c r="H28" s="95">
        <f>IF(6&lt;=Exit!$B$6,((1+A28)/(1+Assumptions!$B$10))^(6-1)*'Equity Returns'!H5+1*'Equity Returns'!H6+IF(AND(Assumptions!$B$67=1,6=(INT((Assumptions!$B$68-1)/12)+1)),((Refinance!$B$11+Refinance!$B$13)*((1+A28)/(1+Assumptions!$B$10))^((INT((Assumptions!$B$68-1)/12)+1)-1)+Refinance!$B$12),0)+IF(6=Exit!$B$6,(Exit!$B$9*((1+A28)/(1+Assumptions!$B$10))^(Exit!$B$6-1)*(1-(Assumptions!$B$77+Assumptions!$B$78))+Exit!$B$12),0),0)</f>
        <v>0</v>
      </c>
      <c r="I28" s="95">
        <f>IF(7&lt;=Exit!$B$6,((1+A28)/(1+Assumptions!$B$10))^(7-1)*'Equity Returns'!I5+1*'Equity Returns'!I6+IF(AND(Assumptions!$B$67=1,7=(INT((Assumptions!$B$68-1)/12)+1)),((Refinance!$B$11+Refinance!$B$13)*((1+A28)/(1+Assumptions!$B$10))^((INT((Assumptions!$B$68-1)/12)+1)-1)+Refinance!$B$12),0)+IF(7=Exit!$B$6,(Exit!$B$9*((1+A28)/(1+Assumptions!$B$10))^(Exit!$B$6-1)*(1-(Assumptions!$B$77+Assumptions!$B$78))+Exit!$B$12),0),0)</f>
        <v>0</v>
      </c>
      <c r="J28" s="95">
        <f>IF(8&lt;=Exit!$B$6,((1+A28)/(1+Assumptions!$B$10))^(8-1)*'Equity Returns'!J5+1*'Equity Returns'!J6+IF(AND(Assumptions!$B$67=1,8=(INT((Assumptions!$B$68-1)/12)+1)),((Refinance!$B$11+Refinance!$B$13)*((1+A28)/(1+Assumptions!$B$10))^((INT((Assumptions!$B$68-1)/12)+1)-1)+Refinance!$B$12),0)+IF(8=Exit!$B$6,(Exit!$B$9*((1+A28)/(1+Assumptions!$B$10))^(Exit!$B$6-1)*(1-(Assumptions!$B$77+Assumptions!$B$78))+Exit!$B$12),0),0)</f>
        <v>0</v>
      </c>
      <c r="K28" s="95">
        <f>IF(9&lt;=Exit!$B$6,((1+A28)/(1+Assumptions!$B$10))^(9-1)*'Equity Returns'!K5+1*'Equity Returns'!K6+IF(AND(Assumptions!$B$67=1,9=(INT((Assumptions!$B$68-1)/12)+1)),((Refinance!$B$11+Refinance!$B$13)*((1+A28)/(1+Assumptions!$B$10))^((INT((Assumptions!$B$68-1)/12)+1)-1)+Refinance!$B$12),0)+IF(9=Exit!$B$6,(Exit!$B$9*((1+A28)/(1+Assumptions!$B$10))^(Exit!$B$6-1)*(1-(Assumptions!$B$77+Assumptions!$B$78))+Exit!$B$12),0),0)</f>
        <v>0</v>
      </c>
      <c r="L28" s="95">
        <f>IF(10&lt;=Exit!$B$6,((1+A28)/(1+Assumptions!$B$10))^(10-1)*'Equity Returns'!L5+1*'Equity Returns'!L6+IF(AND(Assumptions!$B$67=1,10=(INT((Assumptions!$B$68-1)/12)+1)),((Refinance!$B$11+Refinance!$B$13)*((1+A28)/(1+Assumptions!$B$10))^((INT((Assumptions!$B$68-1)/12)+1)-1)+Refinance!$B$12),0)+IF(10=Exit!$B$6,(Exit!$B$9*((1+A28)/(1+Assumptions!$B$10))^(Exit!$B$6-1)*(1-(Assumptions!$B$77+Assumptions!$B$78))+Exit!$B$12),0),0)</f>
        <v>0</v>
      </c>
      <c r="M28" s="102">
        <f t="shared" ref="M28:M34" si="4">IFERROR(IRR(B28:L28),0)</f>
        <v>0.23682545204041028</v>
      </c>
    </row>
    <row r="29" spans="1:14" x14ac:dyDescent="0.25">
      <c r="A29" s="104">
        <f>Assumptions!$B$10+-0.01</f>
        <v>1.9999999999999997E-2</v>
      </c>
      <c r="B29" s="95">
        <f>-Acquisition!$B$23</f>
        <v>-600100</v>
      </c>
      <c r="C29" s="95">
        <f>IF(1&lt;=Exit!$B$6,((1+A29)/(1+Assumptions!$B$10))^(1-1)*'Equity Returns'!C5+1*'Equity Returns'!C6+IF(AND(Assumptions!$B$67=1,1=(INT((Assumptions!$B$68-1)/12)+1)),((Refinance!$B$11+Refinance!$B$13)*((1+A29)/(1+Assumptions!$B$10))^((INT((Assumptions!$B$68-1)/12)+1)-1)+Refinance!$B$12),0)+IF(1=Exit!$B$6,(Exit!$B$9*((1+A29)/(1+Assumptions!$B$10))^(Exit!$B$6-1)*(1-(Assumptions!$B$77+Assumptions!$B$78))+Exit!$B$12),0),0)</f>
        <v>22074.913333333323</v>
      </c>
      <c r="D29" s="95">
        <f>IF(2&lt;=Exit!$B$6,((1+A29)/(1+Assumptions!$B$10))^(2-1)*'Equity Returns'!D5+1*'Equity Returns'!D6+IF(AND(Assumptions!$B$67=1,2=(INT((Assumptions!$B$68-1)/12)+1)),((Refinance!$B$11+Refinance!$B$13)*((1+A29)/(1+Assumptions!$B$10))^((INT((Assumptions!$B$68-1)/12)+1)-1)+Refinance!$B$12),0)+IF(2=Exit!$B$6,(Exit!$B$9*((1+A29)/(1+Assumptions!$B$10))^(Exit!$B$6-1)*(1-(Assumptions!$B$77+Assumptions!$B$78))+Exit!$B$12),0),0)</f>
        <v>59126.068335922399</v>
      </c>
      <c r="E29" s="95">
        <f>IF(3&lt;=Exit!$B$6,((1+A29)/(1+Assumptions!$B$10))^(3-1)*'Equity Returns'!E5+1*'Equity Returns'!E6+IF(AND(Assumptions!$B$67=1,3=(INT((Assumptions!$B$68-1)/12)+1)),((Refinance!$B$11+Refinance!$B$13)*((1+A29)/(1+Assumptions!$B$10))^((INT((Assumptions!$B$68-1)/12)+1)-1)+Refinance!$B$12),0)+IF(3=Exit!$B$6,(Exit!$B$9*((1+A29)/(1+Assumptions!$B$10))^(Exit!$B$6-1)*(1-(Assumptions!$B$77+Assumptions!$B$78))+Exit!$B$12),0),0)</f>
        <v>640265.25564019952</v>
      </c>
      <c r="F29" s="95">
        <f>IF(4&lt;=Exit!$B$6,((1+A29)/(1+Assumptions!$B$10))^(4-1)*'Equity Returns'!F5+1*'Equity Returns'!F6+IF(AND(Assumptions!$B$67=1,4=(INT((Assumptions!$B$68-1)/12)+1)),((Refinance!$B$11+Refinance!$B$13)*((1+A29)/(1+Assumptions!$B$10))^((INT((Assumptions!$B$68-1)/12)+1)-1)+Refinance!$B$12),0)+IF(4=Exit!$B$6,(Exit!$B$9*((1+A29)/(1+Assumptions!$B$10))^(Exit!$B$6-1)*(1-(Assumptions!$B$77+Assumptions!$B$78))+Exit!$B$12),0),0)</f>
        <v>19398.723993983542</v>
      </c>
      <c r="G29" s="95">
        <f>IF(5&lt;=Exit!$B$6,((1+A29)/(1+Assumptions!$B$10))^(5-1)*'Equity Returns'!G5+1*'Equity Returns'!G6+IF(AND(Assumptions!$B$67=1,5=(INT((Assumptions!$B$68-1)/12)+1)),((Refinance!$B$11+Refinance!$B$13)*((1+A29)/(1+Assumptions!$B$10))^((INT((Assumptions!$B$68-1)/12)+1)-1)+Refinance!$B$12),0)+IF(5=Exit!$B$6,(Exit!$B$9*((1+A29)/(1+Assumptions!$B$10))^(Exit!$B$6-1)*(1-(Assumptions!$B$77+Assumptions!$B$78))+Exit!$B$12),0),0)</f>
        <v>641145.47750737122</v>
      </c>
      <c r="H29" s="95">
        <f>IF(6&lt;=Exit!$B$6,((1+A29)/(1+Assumptions!$B$10))^(6-1)*'Equity Returns'!H5+1*'Equity Returns'!H6+IF(AND(Assumptions!$B$67=1,6=(INT((Assumptions!$B$68-1)/12)+1)),((Refinance!$B$11+Refinance!$B$13)*((1+A29)/(1+Assumptions!$B$10))^((INT((Assumptions!$B$68-1)/12)+1)-1)+Refinance!$B$12),0)+IF(6=Exit!$B$6,(Exit!$B$9*((1+A29)/(1+Assumptions!$B$10))^(Exit!$B$6-1)*(1-(Assumptions!$B$77+Assumptions!$B$78))+Exit!$B$12),0),0)</f>
        <v>0</v>
      </c>
      <c r="I29" s="95">
        <f>IF(7&lt;=Exit!$B$6,((1+A29)/(1+Assumptions!$B$10))^(7-1)*'Equity Returns'!I5+1*'Equity Returns'!I6+IF(AND(Assumptions!$B$67=1,7=(INT((Assumptions!$B$68-1)/12)+1)),((Refinance!$B$11+Refinance!$B$13)*((1+A29)/(1+Assumptions!$B$10))^((INT((Assumptions!$B$68-1)/12)+1)-1)+Refinance!$B$12),0)+IF(7=Exit!$B$6,(Exit!$B$9*((1+A29)/(1+Assumptions!$B$10))^(Exit!$B$6-1)*(1-(Assumptions!$B$77+Assumptions!$B$78))+Exit!$B$12),0),0)</f>
        <v>0</v>
      </c>
      <c r="J29" s="95">
        <f>IF(8&lt;=Exit!$B$6,((1+A29)/(1+Assumptions!$B$10))^(8-1)*'Equity Returns'!J5+1*'Equity Returns'!J6+IF(AND(Assumptions!$B$67=1,8=(INT((Assumptions!$B$68-1)/12)+1)),((Refinance!$B$11+Refinance!$B$13)*((1+A29)/(1+Assumptions!$B$10))^((INT((Assumptions!$B$68-1)/12)+1)-1)+Refinance!$B$12),0)+IF(8=Exit!$B$6,(Exit!$B$9*((1+A29)/(1+Assumptions!$B$10))^(Exit!$B$6-1)*(1-(Assumptions!$B$77+Assumptions!$B$78))+Exit!$B$12),0),0)</f>
        <v>0</v>
      </c>
      <c r="K29" s="95">
        <f>IF(9&lt;=Exit!$B$6,((1+A29)/(1+Assumptions!$B$10))^(9-1)*'Equity Returns'!K5+1*'Equity Returns'!K6+IF(AND(Assumptions!$B$67=1,9=(INT((Assumptions!$B$68-1)/12)+1)),((Refinance!$B$11+Refinance!$B$13)*((1+A29)/(1+Assumptions!$B$10))^((INT((Assumptions!$B$68-1)/12)+1)-1)+Refinance!$B$12),0)+IF(9=Exit!$B$6,(Exit!$B$9*((1+A29)/(1+Assumptions!$B$10))^(Exit!$B$6-1)*(1-(Assumptions!$B$77+Assumptions!$B$78))+Exit!$B$12),0),0)</f>
        <v>0</v>
      </c>
      <c r="L29" s="95">
        <f>IF(10&lt;=Exit!$B$6,((1+A29)/(1+Assumptions!$B$10))^(10-1)*'Equity Returns'!L5+1*'Equity Returns'!L6+IF(AND(Assumptions!$B$67=1,10=(INT((Assumptions!$B$68-1)/12)+1)),((Refinance!$B$11+Refinance!$B$13)*((1+A29)/(1+Assumptions!$B$10))^((INT((Assumptions!$B$68-1)/12)+1)-1)+Refinance!$B$12),0)+IF(10=Exit!$B$6,(Exit!$B$9*((1+A29)/(1+Assumptions!$B$10))^(Exit!$B$6-1)*(1-(Assumptions!$B$77+Assumptions!$B$78))+Exit!$B$12),0),0)</f>
        <v>0</v>
      </c>
      <c r="M29" s="102">
        <f t="shared" si="4"/>
        <v>0.25072630587870037</v>
      </c>
    </row>
    <row r="30" spans="1:14" x14ac:dyDescent="0.25">
      <c r="A30" s="104">
        <f>Assumptions!$B$10+-0.005</f>
        <v>2.4999999999999998E-2</v>
      </c>
      <c r="B30" s="95">
        <f>-Acquisition!$B$23</f>
        <v>-600100</v>
      </c>
      <c r="C30" s="95">
        <f>IF(1&lt;=Exit!$B$6,((1+A30)/(1+Assumptions!$B$10))^(1-1)*'Equity Returns'!C5+1*'Equity Returns'!C6+IF(AND(Assumptions!$B$67=1,1=(INT((Assumptions!$B$68-1)/12)+1)),((Refinance!$B$11+Refinance!$B$13)*((1+A30)/(1+Assumptions!$B$10))^((INT((Assumptions!$B$68-1)/12)+1)-1)+Refinance!$B$12),0)+IF(1=Exit!$B$6,(Exit!$B$9*((1+A30)/(1+Assumptions!$B$10))^(Exit!$B$6-1)*(1-(Assumptions!$B$77+Assumptions!$B$78))+Exit!$B$12),0),0)</f>
        <v>22074.913333333323</v>
      </c>
      <c r="D30" s="95">
        <f>IF(2&lt;=Exit!$B$6,((1+A30)/(1+Assumptions!$B$10))^(2-1)*'Equity Returns'!D5+1*'Equity Returns'!D6+IF(AND(Assumptions!$B$67=1,2=(INT((Assumptions!$B$68-1)/12)+1)),((Refinance!$B$11+Refinance!$B$13)*((1+A30)/(1+Assumptions!$B$10))^((INT((Assumptions!$B$68-1)/12)+1)-1)+Refinance!$B$12),0)+IF(2=Exit!$B$6,(Exit!$B$9*((1+A30)/(1+Assumptions!$B$10))^(Exit!$B$6-1)*(1-(Assumptions!$B$77+Assumptions!$B$78))+Exit!$B$12),0),0)</f>
        <v>59705.852984627876</v>
      </c>
      <c r="E30" s="95">
        <f>IF(3&lt;=Exit!$B$6,((1+A30)/(1+Assumptions!$B$10))^(3-1)*'Equity Returns'!E5+1*'Equity Returns'!E6+IF(AND(Assumptions!$B$67=1,3=(INT((Assumptions!$B$68-1)/12)+1)),((Refinance!$B$11+Refinance!$B$13)*((1+A30)/(1+Assumptions!$B$10))^((INT((Assumptions!$B$68-1)/12)+1)-1)+Refinance!$B$12),0)+IF(3=Exit!$B$6,(Exit!$B$9*((1+A30)/(1+Assumptions!$B$10))^(Exit!$B$6-1)*(1-(Assumptions!$B$77+Assumptions!$B$78))+Exit!$B$12),0),0)</f>
        <v>656121.89155900455</v>
      </c>
      <c r="F30" s="95">
        <f>IF(4&lt;=Exit!$B$6,((1+A30)/(1+Assumptions!$B$10))^(4-1)*'Equity Returns'!F5+1*'Equity Returns'!F6+IF(AND(Assumptions!$B$67=1,4=(INT((Assumptions!$B$68-1)/12)+1)),((Refinance!$B$11+Refinance!$B$13)*((1+A30)/(1+Assumptions!$B$10))^((INT((Assumptions!$B$68-1)/12)+1)-1)+Refinance!$B$12),0)+IF(4=Exit!$B$6,(Exit!$B$9*((1+A30)/(1+Assumptions!$B$10))^(Exit!$B$6-1)*(1-(Assumptions!$B$77+Assumptions!$B$78))+Exit!$B$12),0),0)</f>
        <v>21314.314647267733</v>
      </c>
      <c r="G30" s="95">
        <f>IF(5&lt;=Exit!$B$6,((1+A30)/(1+Assumptions!$B$10))^(5-1)*'Equity Returns'!G5+1*'Equity Returns'!G6+IF(AND(Assumptions!$B$67=1,5=(INT((Assumptions!$B$68-1)/12)+1)),((Refinance!$B$11+Refinance!$B$13)*((1+A30)/(1+Assumptions!$B$10))^((INT((Assumptions!$B$68-1)/12)+1)-1)+Refinance!$B$12),0)+IF(5=Exit!$B$6,(Exit!$B$9*((1+A30)/(1+Assumptions!$B$10))^(Exit!$B$6-1)*(1-(Assumptions!$B$77+Assumptions!$B$78))+Exit!$B$12),0),0)</f>
        <v>685448.61072575848</v>
      </c>
      <c r="H30" s="95">
        <f>IF(6&lt;=Exit!$B$6,((1+A30)/(1+Assumptions!$B$10))^(6-1)*'Equity Returns'!H5+1*'Equity Returns'!H6+IF(AND(Assumptions!$B$67=1,6=(INT((Assumptions!$B$68-1)/12)+1)),((Refinance!$B$11+Refinance!$B$13)*((1+A30)/(1+Assumptions!$B$10))^((INT((Assumptions!$B$68-1)/12)+1)-1)+Refinance!$B$12),0)+IF(6=Exit!$B$6,(Exit!$B$9*((1+A30)/(1+Assumptions!$B$10))^(Exit!$B$6-1)*(1-(Assumptions!$B$77+Assumptions!$B$78))+Exit!$B$12),0),0)</f>
        <v>0</v>
      </c>
      <c r="I30" s="95">
        <f>IF(7&lt;=Exit!$B$6,((1+A30)/(1+Assumptions!$B$10))^(7-1)*'Equity Returns'!I5+1*'Equity Returns'!I6+IF(AND(Assumptions!$B$67=1,7=(INT((Assumptions!$B$68-1)/12)+1)),((Refinance!$B$11+Refinance!$B$13)*((1+A30)/(1+Assumptions!$B$10))^((INT((Assumptions!$B$68-1)/12)+1)-1)+Refinance!$B$12),0)+IF(7=Exit!$B$6,(Exit!$B$9*((1+A30)/(1+Assumptions!$B$10))^(Exit!$B$6-1)*(1-(Assumptions!$B$77+Assumptions!$B$78))+Exit!$B$12),0),0)</f>
        <v>0</v>
      </c>
      <c r="J30" s="95">
        <f>IF(8&lt;=Exit!$B$6,((1+A30)/(1+Assumptions!$B$10))^(8-1)*'Equity Returns'!J5+1*'Equity Returns'!J6+IF(AND(Assumptions!$B$67=1,8=(INT((Assumptions!$B$68-1)/12)+1)),((Refinance!$B$11+Refinance!$B$13)*((1+A30)/(1+Assumptions!$B$10))^((INT((Assumptions!$B$68-1)/12)+1)-1)+Refinance!$B$12),0)+IF(8=Exit!$B$6,(Exit!$B$9*((1+A30)/(1+Assumptions!$B$10))^(Exit!$B$6-1)*(1-(Assumptions!$B$77+Assumptions!$B$78))+Exit!$B$12),0),0)</f>
        <v>0</v>
      </c>
      <c r="K30" s="95">
        <f>IF(9&lt;=Exit!$B$6,((1+A30)/(1+Assumptions!$B$10))^(9-1)*'Equity Returns'!K5+1*'Equity Returns'!K6+IF(AND(Assumptions!$B$67=1,9=(INT((Assumptions!$B$68-1)/12)+1)),((Refinance!$B$11+Refinance!$B$13)*((1+A30)/(1+Assumptions!$B$10))^((INT((Assumptions!$B$68-1)/12)+1)-1)+Refinance!$B$12),0)+IF(9=Exit!$B$6,(Exit!$B$9*((1+A30)/(1+Assumptions!$B$10))^(Exit!$B$6-1)*(1-(Assumptions!$B$77+Assumptions!$B$78))+Exit!$B$12),0),0)</f>
        <v>0</v>
      </c>
      <c r="L30" s="95">
        <f>IF(10&lt;=Exit!$B$6,((1+A30)/(1+Assumptions!$B$10))^(10-1)*'Equity Returns'!L5+1*'Equity Returns'!L6+IF(AND(Assumptions!$B$67=1,10=(INT((Assumptions!$B$68-1)/12)+1)),((Refinance!$B$11+Refinance!$B$13)*((1+A30)/(1+Assumptions!$B$10))^((INT((Assumptions!$B$68-1)/12)+1)-1)+Refinance!$B$12),0)+IF(10=Exit!$B$6,(Exit!$B$9*((1+A30)/(1+Assumptions!$B$10))^(Exit!$B$6-1)*(1-(Assumptions!$B$77+Assumptions!$B$78))+Exit!$B$12),0),0)</f>
        <v>0</v>
      </c>
      <c r="M30" s="102">
        <f t="shared" si="4"/>
        <v>0.26424621343099886</v>
      </c>
    </row>
    <row r="31" spans="1:14" x14ac:dyDescent="0.25">
      <c r="A31" s="104">
        <f>Assumptions!$B$10+0</f>
        <v>0.03</v>
      </c>
      <c r="B31" s="95">
        <f>-Acquisition!$B$23</f>
        <v>-600100</v>
      </c>
      <c r="C31" s="95">
        <f>IF(1&lt;=Exit!$B$6,((1+A31)/(1+Assumptions!$B$10))^(1-1)*'Equity Returns'!C5+1*'Equity Returns'!C6+IF(AND(Assumptions!$B$67=1,1=(INT((Assumptions!$B$68-1)/12)+1)),((Refinance!$B$11+Refinance!$B$13)*((1+A31)/(1+Assumptions!$B$10))^((INT((Assumptions!$B$68-1)/12)+1)-1)+Refinance!$B$12),0)+IF(1=Exit!$B$6,(Exit!$B$9*((1+A31)/(1+Assumptions!$B$10))^(Exit!$B$6-1)*(1-(Assumptions!$B$77+Assumptions!$B$78))+Exit!$B$12),0),0)</f>
        <v>22074.913333333323</v>
      </c>
      <c r="D31" s="95">
        <f>IF(2&lt;=Exit!$B$6,((1+A31)/(1+Assumptions!$B$10))^(2-1)*'Equity Returns'!D5+1*'Equity Returns'!D6+IF(AND(Assumptions!$B$67=1,2=(INT((Assumptions!$B$68-1)/12)+1)),((Refinance!$B$11+Refinance!$B$13)*((1+A31)/(1+Assumptions!$B$10))^((INT((Assumptions!$B$68-1)/12)+1)-1)+Refinance!$B$12),0)+IF(2=Exit!$B$6,(Exit!$B$9*((1+A31)/(1+Assumptions!$B$10))^(Exit!$B$6-1)*(1-(Assumptions!$B$77+Assumptions!$B$78))+Exit!$B$12),0),0)</f>
        <v>60285.637633333397</v>
      </c>
      <c r="E31" s="95">
        <f>IF(3&lt;=Exit!$B$6,((1+A31)/(1+Assumptions!$B$10))^(3-1)*'Equity Returns'!E5+1*'Equity Returns'!E6+IF(AND(Assumptions!$B$67=1,3=(INT((Assumptions!$B$68-1)/12)+1)),((Refinance!$B$11+Refinance!$B$13)*((1+A31)/(1+Assumptions!$B$10))^((INT((Assumptions!$B$68-1)/12)+1)-1)+Refinance!$B$12),0)+IF(3=Exit!$B$6,(Exit!$B$9*((1+A31)/(1+Assumptions!$B$10))^(Exit!$B$6-1)*(1-(Assumptions!$B$77+Assumptions!$B$78))+Exit!$B$12),0),0)</f>
        <v>672056.06603976048</v>
      </c>
      <c r="F31" s="95">
        <f>IF(4&lt;=Exit!$B$6,((1+A31)/(1+Assumptions!$B$10))^(4-1)*'Equity Returns'!F5+1*'Equity Returns'!F6+IF(AND(Assumptions!$B$67=1,4=(INT((Assumptions!$B$68-1)/12)+1)),((Refinance!$B$11+Refinance!$B$13)*((1+A31)/(1+Assumptions!$B$10))^((INT((Assumptions!$B$68-1)/12)+1)-1)+Refinance!$B$12),0)+IF(4=Exit!$B$6,(Exit!$B$9*((1+A31)/(1+Assumptions!$B$10))^(Exit!$B$6-1)*(1-(Assumptions!$B$77+Assumptions!$B$78))+Exit!$B$12),0),0)</f>
        <v>23248.685451384037</v>
      </c>
      <c r="G31" s="95">
        <f>IF(5&lt;=Exit!$B$6,((1+A31)/(1+Assumptions!$B$10))^(5-1)*'Equity Returns'!G5+1*'Equity Returns'!G6+IF(AND(Assumptions!$B$67=1,5=(INT((Assumptions!$B$68-1)/12)+1)),((Refinance!$B$11+Refinance!$B$13)*((1+A31)/(1+Assumptions!$B$10))^((INT((Assumptions!$B$68-1)/12)+1)-1)+Refinance!$B$12),0)+IF(5=Exit!$B$6,(Exit!$B$9*((1+A31)/(1+Assumptions!$B$10))^(Exit!$B$6-1)*(1-(Assumptions!$B$77+Assumptions!$B$78))+Exit!$B$12),0),0)</f>
        <v>730404.84834105056</v>
      </c>
      <c r="H31" s="95">
        <f>IF(6&lt;=Exit!$B$6,((1+A31)/(1+Assumptions!$B$10))^(6-1)*'Equity Returns'!H5+1*'Equity Returns'!H6+IF(AND(Assumptions!$B$67=1,6=(INT((Assumptions!$B$68-1)/12)+1)),((Refinance!$B$11+Refinance!$B$13)*((1+A31)/(1+Assumptions!$B$10))^((INT((Assumptions!$B$68-1)/12)+1)-1)+Refinance!$B$12),0)+IF(6=Exit!$B$6,(Exit!$B$9*((1+A31)/(1+Assumptions!$B$10))^(Exit!$B$6-1)*(1-(Assumptions!$B$77+Assumptions!$B$78))+Exit!$B$12),0),0)</f>
        <v>0</v>
      </c>
      <c r="I31" s="95">
        <f>IF(7&lt;=Exit!$B$6,((1+A31)/(1+Assumptions!$B$10))^(7-1)*'Equity Returns'!I5+1*'Equity Returns'!I6+IF(AND(Assumptions!$B$67=1,7=(INT((Assumptions!$B$68-1)/12)+1)),((Refinance!$B$11+Refinance!$B$13)*((1+A31)/(1+Assumptions!$B$10))^((INT((Assumptions!$B$68-1)/12)+1)-1)+Refinance!$B$12),0)+IF(7=Exit!$B$6,(Exit!$B$9*((1+A31)/(1+Assumptions!$B$10))^(Exit!$B$6-1)*(1-(Assumptions!$B$77+Assumptions!$B$78))+Exit!$B$12),0),0)</f>
        <v>0</v>
      </c>
      <c r="J31" s="95">
        <f>IF(8&lt;=Exit!$B$6,((1+A31)/(1+Assumptions!$B$10))^(8-1)*'Equity Returns'!J5+1*'Equity Returns'!J6+IF(AND(Assumptions!$B$67=1,8=(INT((Assumptions!$B$68-1)/12)+1)),((Refinance!$B$11+Refinance!$B$13)*((1+A31)/(1+Assumptions!$B$10))^((INT((Assumptions!$B$68-1)/12)+1)-1)+Refinance!$B$12),0)+IF(8=Exit!$B$6,(Exit!$B$9*((1+A31)/(1+Assumptions!$B$10))^(Exit!$B$6-1)*(1-(Assumptions!$B$77+Assumptions!$B$78))+Exit!$B$12),0),0)</f>
        <v>0</v>
      </c>
      <c r="K31" s="95">
        <f>IF(9&lt;=Exit!$B$6,((1+A31)/(1+Assumptions!$B$10))^(9-1)*'Equity Returns'!K5+1*'Equity Returns'!K6+IF(AND(Assumptions!$B$67=1,9=(INT((Assumptions!$B$68-1)/12)+1)),((Refinance!$B$11+Refinance!$B$13)*((1+A31)/(1+Assumptions!$B$10))^((INT((Assumptions!$B$68-1)/12)+1)-1)+Refinance!$B$12),0)+IF(9=Exit!$B$6,(Exit!$B$9*((1+A31)/(1+Assumptions!$B$10))^(Exit!$B$6-1)*(1-(Assumptions!$B$77+Assumptions!$B$78))+Exit!$B$12),0),0)</f>
        <v>0</v>
      </c>
      <c r="L31" s="95">
        <f>IF(10&lt;=Exit!$B$6,((1+A31)/(1+Assumptions!$B$10))^(10-1)*'Equity Returns'!L5+1*'Equity Returns'!L6+IF(AND(Assumptions!$B$67=1,10=(INT((Assumptions!$B$68-1)/12)+1)),((Refinance!$B$11+Refinance!$B$13)*((1+A31)/(1+Assumptions!$B$10))^((INT((Assumptions!$B$68-1)/12)+1)-1)+Refinance!$B$12),0)+IF(10=Exit!$B$6,(Exit!$B$9*((1+A31)/(1+Assumptions!$B$10))^(Exit!$B$6-1)*(1-(Assumptions!$B$77+Assumptions!$B$78))+Exit!$B$12),0),0)</f>
        <v>0</v>
      </c>
      <c r="M31" s="102">
        <f t="shared" si="4"/>
        <v>0.27741656061743125</v>
      </c>
    </row>
    <row r="32" spans="1:14" x14ac:dyDescent="0.25">
      <c r="A32" s="104">
        <f>Assumptions!$B$10+0.005</f>
        <v>3.4999999999999996E-2</v>
      </c>
      <c r="B32" s="95">
        <f>-Acquisition!$B$23</f>
        <v>-600100</v>
      </c>
      <c r="C32" s="95">
        <f>IF(1&lt;=Exit!$B$6,((1+A32)/(1+Assumptions!$B$10))^(1-1)*'Equity Returns'!C5+1*'Equity Returns'!C6+IF(AND(Assumptions!$B$67=1,1=(INT((Assumptions!$B$68-1)/12)+1)),((Refinance!$B$11+Refinance!$B$13)*((1+A32)/(1+Assumptions!$B$10))^((INT((Assumptions!$B$68-1)/12)+1)-1)+Refinance!$B$12),0)+IF(1=Exit!$B$6,(Exit!$B$9*((1+A32)/(1+Assumptions!$B$10))^(Exit!$B$6-1)*(1-(Assumptions!$B$77+Assumptions!$B$78))+Exit!$B$12),0),0)</f>
        <v>22074.913333333323</v>
      </c>
      <c r="D32" s="95">
        <f>IF(2&lt;=Exit!$B$6,((1+A32)/(1+Assumptions!$B$10))^(2-1)*'Equity Returns'!D5+1*'Equity Returns'!D6+IF(AND(Assumptions!$B$67=1,2=(INT((Assumptions!$B$68-1)/12)+1)),((Refinance!$B$11+Refinance!$B$13)*((1+A32)/(1+Assumptions!$B$10))^((INT((Assumptions!$B$68-1)/12)+1)-1)+Refinance!$B$12),0)+IF(2=Exit!$B$6,(Exit!$B$9*((1+A32)/(1+Assumptions!$B$10))^(Exit!$B$6-1)*(1-(Assumptions!$B$77+Assumptions!$B$78))+Exit!$B$12),0),0)</f>
        <v>60865.422282038904</v>
      </c>
      <c r="E32" s="95">
        <f>IF(3&lt;=Exit!$B$6,((1+A32)/(1+Assumptions!$B$10))^(3-1)*'Equity Returns'!E5+1*'Equity Returns'!E6+IF(AND(Assumptions!$B$67=1,3=(INT((Assumptions!$B$68-1)/12)+1)),((Refinance!$B$11+Refinance!$B$13)*((1+A32)/(1+Assumptions!$B$10))^((INT((Assumptions!$B$68-1)/12)+1)-1)+Refinance!$B$12),0)+IF(3=Exit!$B$6,(Exit!$B$9*((1+A32)/(1+Assumptions!$B$10))^(Exit!$B$6-1)*(1-(Assumptions!$B$77+Assumptions!$B$78))+Exit!$B$12),0),0)</f>
        <v>688067.77908246603</v>
      </c>
      <c r="F32" s="95">
        <f>IF(4&lt;=Exit!$B$6,((1+A32)/(1+Assumptions!$B$10))^(4-1)*'Equity Returns'!F5+1*'Equity Returns'!F6+IF(AND(Assumptions!$B$67=1,4=(INT((Assumptions!$B$68-1)/12)+1)),((Refinance!$B$11+Refinance!$B$13)*((1+A32)/(1+Assumptions!$B$10))^((INT((Assumptions!$B$68-1)/12)+1)-1)+Refinance!$B$12),0)+IF(4=Exit!$B$6,(Exit!$B$9*((1+A32)/(1+Assumptions!$B$10))^(Exit!$B$6-1)*(1-(Assumptions!$B$77+Assumptions!$B$78))+Exit!$B$12),0),0)</f>
        <v>25201.928016824197</v>
      </c>
      <c r="G32" s="95">
        <f>IF(5&lt;=Exit!$B$6,((1+A32)/(1+Assumptions!$B$10))^(5-1)*'Equity Returns'!G5+1*'Equity Returns'!G6+IF(AND(Assumptions!$B$67=1,5=(INT((Assumptions!$B$68-1)/12)+1)),((Refinance!$B$11+Refinance!$B$13)*((1+A32)/(1+Assumptions!$B$10))^((INT((Assumptions!$B$68-1)/12)+1)-1)+Refinance!$B$12),0)+IF(5=Exit!$B$6,(Exit!$B$9*((1+A32)/(1+Assumptions!$B$10))^(Exit!$B$6-1)*(1-(Assumptions!$B$77+Assumptions!$B$78))+Exit!$B$12),0),0)</f>
        <v>776020.57761898066</v>
      </c>
      <c r="H32" s="95">
        <f>IF(6&lt;=Exit!$B$6,((1+A32)/(1+Assumptions!$B$10))^(6-1)*'Equity Returns'!H5+1*'Equity Returns'!H6+IF(AND(Assumptions!$B$67=1,6=(INT((Assumptions!$B$68-1)/12)+1)),((Refinance!$B$11+Refinance!$B$13)*((1+A32)/(1+Assumptions!$B$10))^((INT((Assumptions!$B$68-1)/12)+1)-1)+Refinance!$B$12),0)+IF(6=Exit!$B$6,(Exit!$B$9*((1+A32)/(1+Assumptions!$B$10))^(Exit!$B$6-1)*(1-(Assumptions!$B$77+Assumptions!$B$78))+Exit!$B$12),0),0)</f>
        <v>0</v>
      </c>
      <c r="I32" s="95">
        <f>IF(7&lt;=Exit!$B$6,((1+A32)/(1+Assumptions!$B$10))^(7-1)*'Equity Returns'!I5+1*'Equity Returns'!I6+IF(AND(Assumptions!$B$67=1,7=(INT((Assumptions!$B$68-1)/12)+1)),((Refinance!$B$11+Refinance!$B$13)*((1+A32)/(1+Assumptions!$B$10))^((INT((Assumptions!$B$68-1)/12)+1)-1)+Refinance!$B$12),0)+IF(7=Exit!$B$6,(Exit!$B$9*((1+A32)/(1+Assumptions!$B$10))^(Exit!$B$6-1)*(1-(Assumptions!$B$77+Assumptions!$B$78))+Exit!$B$12),0),0)</f>
        <v>0</v>
      </c>
      <c r="J32" s="95">
        <f>IF(8&lt;=Exit!$B$6,((1+A32)/(1+Assumptions!$B$10))^(8-1)*'Equity Returns'!J5+1*'Equity Returns'!J6+IF(AND(Assumptions!$B$67=1,8=(INT((Assumptions!$B$68-1)/12)+1)),((Refinance!$B$11+Refinance!$B$13)*((1+A32)/(1+Assumptions!$B$10))^((INT((Assumptions!$B$68-1)/12)+1)-1)+Refinance!$B$12),0)+IF(8=Exit!$B$6,(Exit!$B$9*((1+A32)/(1+Assumptions!$B$10))^(Exit!$B$6-1)*(1-(Assumptions!$B$77+Assumptions!$B$78))+Exit!$B$12),0),0)</f>
        <v>0</v>
      </c>
      <c r="K32" s="95">
        <f>IF(9&lt;=Exit!$B$6,((1+A32)/(1+Assumptions!$B$10))^(9-1)*'Equity Returns'!K5+1*'Equity Returns'!K6+IF(AND(Assumptions!$B$67=1,9=(INT((Assumptions!$B$68-1)/12)+1)),((Refinance!$B$11+Refinance!$B$13)*((1+A32)/(1+Assumptions!$B$10))^((INT((Assumptions!$B$68-1)/12)+1)-1)+Refinance!$B$12),0)+IF(9=Exit!$B$6,(Exit!$B$9*((1+A32)/(1+Assumptions!$B$10))^(Exit!$B$6-1)*(1-(Assumptions!$B$77+Assumptions!$B$78))+Exit!$B$12),0),0)</f>
        <v>0</v>
      </c>
      <c r="L32" s="95">
        <f>IF(10&lt;=Exit!$B$6,((1+A32)/(1+Assumptions!$B$10))^(10-1)*'Equity Returns'!L5+1*'Equity Returns'!L6+IF(AND(Assumptions!$B$67=1,10=(INT((Assumptions!$B$68-1)/12)+1)),((Refinance!$B$11+Refinance!$B$13)*((1+A32)/(1+Assumptions!$B$10))^((INT((Assumptions!$B$68-1)/12)+1)-1)+Refinance!$B$12),0)+IF(10=Exit!$B$6,(Exit!$B$9*((1+A32)/(1+Assumptions!$B$10))^(Exit!$B$6-1)*(1-(Assumptions!$B$77+Assumptions!$B$78))+Exit!$B$12),0),0)</f>
        <v>0</v>
      </c>
      <c r="M32" s="102">
        <f t="shared" si="4"/>
        <v>0.29026484734831426</v>
      </c>
    </row>
    <row r="33" spans="1:14" x14ac:dyDescent="0.25">
      <c r="A33" s="104">
        <f>Assumptions!$B$10+0.01</f>
        <v>0.04</v>
      </c>
      <c r="B33" s="95">
        <f>-Acquisition!$B$23</f>
        <v>-600100</v>
      </c>
      <c r="C33" s="95">
        <f>IF(1&lt;=Exit!$B$6,((1+A33)/(1+Assumptions!$B$10))^(1-1)*'Equity Returns'!C5+1*'Equity Returns'!C6+IF(AND(Assumptions!$B$67=1,1=(INT((Assumptions!$B$68-1)/12)+1)),((Refinance!$B$11+Refinance!$B$13)*((1+A33)/(1+Assumptions!$B$10))^((INT((Assumptions!$B$68-1)/12)+1)-1)+Refinance!$B$12),0)+IF(1=Exit!$B$6,(Exit!$B$9*((1+A33)/(1+Assumptions!$B$10))^(Exit!$B$6-1)*(1-(Assumptions!$B$77+Assumptions!$B$78))+Exit!$B$12),0),0)</f>
        <v>22074.913333333323</v>
      </c>
      <c r="D33" s="95">
        <f>IF(2&lt;=Exit!$B$6,((1+A33)/(1+Assumptions!$B$10))^(2-1)*'Equity Returns'!D5+1*'Equity Returns'!D6+IF(AND(Assumptions!$B$67=1,2=(INT((Assumptions!$B$68-1)/12)+1)),((Refinance!$B$11+Refinance!$B$13)*((1+A33)/(1+Assumptions!$B$10))^((INT((Assumptions!$B$68-1)/12)+1)-1)+Refinance!$B$12),0)+IF(2=Exit!$B$6,(Exit!$B$9*((1+A33)/(1+Assumptions!$B$10))^(Exit!$B$6-1)*(1-(Assumptions!$B$77+Assumptions!$B$78))+Exit!$B$12),0),0)</f>
        <v>61445.206930744396</v>
      </c>
      <c r="E33" s="95">
        <f>IF(3&lt;=Exit!$B$6,((1+A33)/(1+Assumptions!$B$10))^(3-1)*'Equity Returns'!E5+1*'Equity Returns'!E6+IF(AND(Assumptions!$B$67=1,3=(INT((Assumptions!$B$68-1)/12)+1)),((Refinance!$B$11+Refinance!$B$13)*((1+A33)/(1+Assumptions!$B$10))^((INT((Assumptions!$B$68-1)/12)+1)-1)+Refinance!$B$12),0)+IF(3=Exit!$B$6,(Exit!$B$9*((1+A33)/(1+Assumptions!$B$10))^(Exit!$B$6-1)*(1-(Assumptions!$B$77+Assumptions!$B$78))+Exit!$B$12),0),0)</f>
        <v>704157.03068712202</v>
      </c>
      <c r="F33" s="95">
        <f>IF(4&lt;=Exit!$B$6,((1+A33)/(1+Assumptions!$B$10))^(4-1)*'Equity Returns'!F5+1*'Equity Returns'!F6+IF(AND(Assumptions!$B$67=1,4=(INT((Assumptions!$B$68-1)/12)+1)),((Refinance!$B$11+Refinance!$B$13)*((1+A33)/(1+Assumptions!$B$10))^((INT((Assumptions!$B$68-1)/12)+1)-1)+Refinance!$B$12),0)+IF(4=Exit!$B$6,(Exit!$B$9*((1+A33)/(1+Assumptions!$B$10))^(Exit!$B$6-1)*(1-(Assumptions!$B$77+Assumptions!$B$78))+Exit!$B$12),0),0)</f>
        <v>27174.133954080186</v>
      </c>
      <c r="G33" s="95">
        <f>IF(5&lt;=Exit!$B$6,((1+A33)/(1+Assumptions!$B$10))^(5-1)*'Equity Returns'!G5+1*'Equity Returns'!G6+IF(AND(Assumptions!$B$67=1,5=(INT((Assumptions!$B$68-1)/12)+1)),((Refinance!$B$11+Refinance!$B$13)*((1+A33)/(1+Assumptions!$B$10))^((INT((Assumptions!$B$68-1)/12)+1)-1)+Refinance!$B$12),0)+IF(5=Exit!$B$6,(Exit!$B$9*((1+A33)/(1+Assumptions!$B$10))^(Exit!$B$6-1)*(1-(Assumptions!$B$77+Assumptions!$B$78))+Exit!$B$12),0),0)</f>
        <v>822302.21690687363</v>
      </c>
      <c r="H33" s="95">
        <f>IF(6&lt;=Exit!$B$6,((1+A33)/(1+Assumptions!$B$10))^(6-1)*'Equity Returns'!H5+1*'Equity Returns'!H6+IF(AND(Assumptions!$B$67=1,6=(INT((Assumptions!$B$68-1)/12)+1)),((Refinance!$B$11+Refinance!$B$13)*((1+A33)/(1+Assumptions!$B$10))^((INT((Assumptions!$B$68-1)/12)+1)-1)+Refinance!$B$12),0)+IF(6=Exit!$B$6,(Exit!$B$9*((1+A33)/(1+Assumptions!$B$10))^(Exit!$B$6-1)*(1-(Assumptions!$B$77+Assumptions!$B$78))+Exit!$B$12),0),0)</f>
        <v>0</v>
      </c>
      <c r="I33" s="95">
        <f>IF(7&lt;=Exit!$B$6,((1+A33)/(1+Assumptions!$B$10))^(7-1)*'Equity Returns'!I5+1*'Equity Returns'!I6+IF(AND(Assumptions!$B$67=1,7=(INT((Assumptions!$B$68-1)/12)+1)),((Refinance!$B$11+Refinance!$B$13)*((1+A33)/(1+Assumptions!$B$10))^((INT((Assumptions!$B$68-1)/12)+1)-1)+Refinance!$B$12),0)+IF(7=Exit!$B$6,(Exit!$B$9*((1+A33)/(1+Assumptions!$B$10))^(Exit!$B$6-1)*(1-(Assumptions!$B$77+Assumptions!$B$78))+Exit!$B$12),0),0)</f>
        <v>0</v>
      </c>
      <c r="J33" s="95">
        <f>IF(8&lt;=Exit!$B$6,((1+A33)/(1+Assumptions!$B$10))^(8-1)*'Equity Returns'!J5+1*'Equity Returns'!J6+IF(AND(Assumptions!$B$67=1,8=(INT((Assumptions!$B$68-1)/12)+1)),((Refinance!$B$11+Refinance!$B$13)*((1+A33)/(1+Assumptions!$B$10))^((INT((Assumptions!$B$68-1)/12)+1)-1)+Refinance!$B$12),0)+IF(8=Exit!$B$6,(Exit!$B$9*((1+A33)/(1+Assumptions!$B$10))^(Exit!$B$6-1)*(1-(Assumptions!$B$77+Assumptions!$B$78))+Exit!$B$12),0),0)</f>
        <v>0</v>
      </c>
      <c r="K33" s="95">
        <f>IF(9&lt;=Exit!$B$6,((1+A33)/(1+Assumptions!$B$10))^(9-1)*'Equity Returns'!K5+1*'Equity Returns'!K6+IF(AND(Assumptions!$B$67=1,9=(INT((Assumptions!$B$68-1)/12)+1)),((Refinance!$B$11+Refinance!$B$13)*((1+A33)/(1+Assumptions!$B$10))^((INT((Assumptions!$B$68-1)/12)+1)-1)+Refinance!$B$12),0)+IF(9=Exit!$B$6,(Exit!$B$9*((1+A33)/(1+Assumptions!$B$10))^(Exit!$B$6-1)*(1-(Assumptions!$B$77+Assumptions!$B$78))+Exit!$B$12),0),0)</f>
        <v>0</v>
      </c>
      <c r="L33" s="95">
        <f>IF(10&lt;=Exit!$B$6,((1+A33)/(1+Assumptions!$B$10))^(10-1)*'Equity Returns'!L5+1*'Equity Returns'!L6+IF(AND(Assumptions!$B$67=1,10=(INT((Assumptions!$B$68-1)/12)+1)),((Refinance!$B$11+Refinance!$B$13)*((1+A33)/(1+Assumptions!$B$10))^((INT((Assumptions!$B$68-1)/12)+1)-1)+Refinance!$B$12),0)+IF(10=Exit!$B$6,(Exit!$B$9*((1+A33)/(1+Assumptions!$B$10))^(Exit!$B$6-1)*(1-(Assumptions!$B$77+Assumptions!$B$78))+Exit!$B$12),0),0)</f>
        <v>0</v>
      </c>
      <c r="M33" s="102">
        <f t="shared" si="4"/>
        <v>0.30281531784089455</v>
      </c>
    </row>
    <row r="34" spans="1:14" x14ac:dyDescent="0.25">
      <c r="A34" s="104">
        <f>Assumptions!$B$10+0.015</f>
        <v>4.4999999999999998E-2</v>
      </c>
      <c r="B34" s="95">
        <f>-Acquisition!$B$23</f>
        <v>-600100</v>
      </c>
      <c r="C34" s="95">
        <f>IF(1&lt;=Exit!$B$6,((1+A34)/(1+Assumptions!$B$10))^(1-1)*'Equity Returns'!C5+1*'Equity Returns'!C6+IF(AND(Assumptions!$B$67=1,1=(INT((Assumptions!$B$68-1)/12)+1)),((Refinance!$B$11+Refinance!$B$13)*((1+A34)/(1+Assumptions!$B$10))^((INT((Assumptions!$B$68-1)/12)+1)-1)+Refinance!$B$12),0)+IF(1=Exit!$B$6,(Exit!$B$9*((1+A34)/(1+Assumptions!$B$10))^(Exit!$B$6-1)*(1-(Assumptions!$B$77+Assumptions!$B$78))+Exit!$B$12),0),0)</f>
        <v>22074.913333333323</v>
      </c>
      <c r="D34" s="95">
        <f>IF(2&lt;=Exit!$B$6,((1+A34)/(1+Assumptions!$B$10))^(2-1)*'Equity Returns'!D5+1*'Equity Returns'!D6+IF(AND(Assumptions!$B$67=1,2=(INT((Assumptions!$B$68-1)/12)+1)),((Refinance!$B$11+Refinance!$B$13)*((1+A34)/(1+Assumptions!$B$10))^((INT((Assumptions!$B$68-1)/12)+1)-1)+Refinance!$B$12),0)+IF(2=Exit!$B$6,(Exit!$B$9*((1+A34)/(1+Assumptions!$B$10))^(Exit!$B$6-1)*(1-(Assumptions!$B$77+Assumptions!$B$78))+Exit!$B$12),0),0)</f>
        <v>62024.991579449903</v>
      </c>
      <c r="E34" s="95">
        <f>IF(3&lt;=Exit!$B$6,((1+A34)/(1+Assumptions!$B$10))^(3-1)*'Equity Returns'!E5+1*'Equity Returns'!E6+IF(AND(Assumptions!$B$67=1,3=(INT((Assumptions!$B$68-1)/12)+1)),((Refinance!$B$11+Refinance!$B$13)*((1+A34)/(1+Assumptions!$B$10))^((INT((Assumptions!$B$68-1)/12)+1)-1)+Refinance!$B$12),0)+IF(3=Exit!$B$6,(Exit!$B$9*((1+A34)/(1+Assumptions!$B$10))^(Exit!$B$6-1)*(1-(Assumptions!$B$77+Assumptions!$B$78))+Exit!$B$12),0),0)</f>
        <v>720323.8208537281</v>
      </c>
      <c r="F34" s="95">
        <f>IF(4&lt;=Exit!$B$6,((1+A34)/(1+Assumptions!$B$10))^(4-1)*'Equity Returns'!F5+1*'Equity Returns'!F6+IF(AND(Assumptions!$B$67=1,4=(INT((Assumptions!$B$68-1)/12)+1)),((Refinance!$B$11+Refinance!$B$13)*((1+A34)/(1+Assumptions!$B$10))^((INT((Assumptions!$B$68-1)/12)+1)-1)+Refinance!$B$12),0)+IF(4=Exit!$B$6,(Exit!$B$9*((1+A34)/(1+Assumptions!$B$10))^(Exit!$B$6-1)*(1-(Assumptions!$B$77+Assumptions!$B$78))+Exit!$B$12),0),0)</f>
        <v>29165.394873643774</v>
      </c>
      <c r="G34" s="95">
        <f>IF(5&lt;=Exit!$B$6,((1+A34)/(1+Assumptions!$B$10))^(5-1)*'Equity Returns'!G5+1*'Equity Returns'!G6+IF(AND(Assumptions!$B$67=1,5=(INT((Assumptions!$B$68-1)/12)+1)),((Refinance!$B$11+Refinance!$B$13)*((1+A34)/(1+Assumptions!$B$10))^((INT((Assumptions!$B$68-1)/12)+1)-1)+Refinance!$B$12),0)+IF(5=Exit!$B$6,(Exit!$B$9*((1+A34)/(1+Assumptions!$B$10))^(Exit!$B$6-1)*(1-(Assumptions!$B$77+Assumptions!$B$78))+Exit!$B$12),0),0)</f>
        <v>869256.21563363483</v>
      </c>
      <c r="H34" s="95">
        <f>IF(6&lt;=Exit!$B$6,((1+A34)/(1+Assumptions!$B$10))^(6-1)*'Equity Returns'!H5+1*'Equity Returns'!H6+IF(AND(Assumptions!$B$67=1,6=(INT((Assumptions!$B$68-1)/12)+1)),((Refinance!$B$11+Refinance!$B$13)*((1+A34)/(1+Assumptions!$B$10))^((INT((Assumptions!$B$68-1)/12)+1)-1)+Refinance!$B$12),0)+IF(6=Exit!$B$6,(Exit!$B$9*((1+A34)/(1+Assumptions!$B$10))^(Exit!$B$6-1)*(1-(Assumptions!$B$77+Assumptions!$B$78))+Exit!$B$12),0),0)</f>
        <v>0</v>
      </c>
      <c r="I34" s="95">
        <f>IF(7&lt;=Exit!$B$6,((1+A34)/(1+Assumptions!$B$10))^(7-1)*'Equity Returns'!I5+1*'Equity Returns'!I6+IF(AND(Assumptions!$B$67=1,7=(INT((Assumptions!$B$68-1)/12)+1)),((Refinance!$B$11+Refinance!$B$13)*((1+A34)/(1+Assumptions!$B$10))^((INT((Assumptions!$B$68-1)/12)+1)-1)+Refinance!$B$12),0)+IF(7=Exit!$B$6,(Exit!$B$9*((1+A34)/(1+Assumptions!$B$10))^(Exit!$B$6-1)*(1-(Assumptions!$B$77+Assumptions!$B$78))+Exit!$B$12),0),0)</f>
        <v>0</v>
      </c>
      <c r="J34" s="95">
        <f>IF(8&lt;=Exit!$B$6,((1+A34)/(1+Assumptions!$B$10))^(8-1)*'Equity Returns'!J5+1*'Equity Returns'!J6+IF(AND(Assumptions!$B$67=1,8=(INT((Assumptions!$B$68-1)/12)+1)),((Refinance!$B$11+Refinance!$B$13)*((1+A34)/(1+Assumptions!$B$10))^((INT((Assumptions!$B$68-1)/12)+1)-1)+Refinance!$B$12),0)+IF(8=Exit!$B$6,(Exit!$B$9*((1+A34)/(1+Assumptions!$B$10))^(Exit!$B$6-1)*(1-(Assumptions!$B$77+Assumptions!$B$78))+Exit!$B$12),0),0)</f>
        <v>0</v>
      </c>
      <c r="K34" s="95">
        <f>IF(9&lt;=Exit!$B$6,((1+A34)/(1+Assumptions!$B$10))^(9-1)*'Equity Returns'!K5+1*'Equity Returns'!K6+IF(AND(Assumptions!$B$67=1,9=(INT((Assumptions!$B$68-1)/12)+1)),((Refinance!$B$11+Refinance!$B$13)*((1+A34)/(1+Assumptions!$B$10))^((INT((Assumptions!$B$68-1)/12)+1)-1)+Refinance!$B$12),0)+IF(9=Exit!$B$6,(Exit!$B$9*((1+A34)/(1+Assumptions!$B$10))^(Exit!$B$6-1)*(1-(Assumptions!$B$77+Assumptions!$B$78))+Exit!$B$12),0),0)</f>
        <v>0</v>
      </c>
      <c r="L34" s="95">
        <f>IF(10&lt;=Exit!$B$6,((1+A34)/(1+Assumptions!$B$10))^(10-1)*'Equity Returns'!L5+1*'Equity Returns'!L6+IF(AND(Assumptions!$B$67=1,10=(INT((Assumptions!$B$68-1)/12)+1)),((Refinance!$B$11+Refinance!$B$13)*((1+A34)/(1+Assumptions!$B$10))^((INT((Assumptions!$B$68-1)/12)+1)-1)+Refinance!$B$12),0)+IF(10=Exit!$B$6,(Exit!$B$9*((1+A34)/(1+Assumptions!$B$10))^(Exit!$B$6-1)*(1-(Assumptions!$B$77+Assumptions!$B$78))+Exit!$B$12),0),0)</f>
        <v>0</v>
      </c>
      <c r="M34" s="102">
        <f t="shared" si="4"/>
        <v>0.31508946637406798</v>
      </c>
    </row>
    <row r="37" spans="1:14" x14ac:dyDescent="0.25">
      <c r="A37" s="143" t="s">
        <v>436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</row>
    <row r="38" spans="1:14" x14ac:dyDescent="0.25">
      <c r="A38" s="19" t="s">
        <v>38</v>
      </c>
      <c r="B38" s="94" t="s">
        <v>404</v>
      </c>
      <c r="C38" s="94" t="s">
        <v>26</v>
      </c>
      <c r="D38" s="94" t="s">
        <v>27</v>
      </c>
      <c r="E38" s="94" t="s">
        <v>28</v>
      </c>
      <c r="F38" s="94" t="s">
        <v>29</v>
      </c>
      <c r="G38" s="94" t="s">
        <v>30</v>
      </c>
      <c r="H38" s="94" t="s">
        <v>31</v>
      </c>
      <c r="I38" s="94" t="s">
        <v>32</v>
      </c>
      <c r="J38" s="94" t="s">
        <v>33</v>
      </c>
      <c r="K38" s="94" t="s">
        <v>34</v>
      </c>
      <c r="L38" s="94" t="s">
        <v>35</v>
      </c>
      <c r="M38" s="100" t="s">
        <v>384</v>
      </c>
      <c r="N38" s="100" t="s">
        <v>405</v>
      </c>
    </row>
    <row r="39" spans="1:14" x14ac:dyDescent="0.25">
      <c r="A39" s="105">
        <v>0.8</v>
      </c>
      <c r="B39" s="95">
        <f>-Acquisition!$B$23</f>
        <v>-600100</v>
      </c>
      <c r="C39" s="95">
        <f>IF(1&lt;=Exit!$B$6,(A39/Assumptions!$B$9)*'Equity Returns'!C5+1*'Equity Returns'!C6+IF(AND(Assumptions!$B$67=1,1=(INT((Assumptions!$B$68-1)/12)+1)),((Refinance!$B$11+Refinance!$B$13)*(A39/Assumptions!$B$9)+Refinance!$B$12),0)+IF(1=Exit!$B$6,(Exit!$B$9*(A39/Assumptions!$B$9)*(1-(Assumptions!$B$77+Assumptions!$B$78))+Exit!$B$12),0),0)</f>
        <v>11480.359420289846</v>
      </c>
      <c r="D39" s="95">
        <f>IF(2&lt;=Exit!$B$6,(A39/Assumptions!$B$9)*'Equity Returns'!D5+1*'Equity Returns'!D6+IF(AND(Assumptions!$B$67=1,2=(INT((Assumptions!$B$68-1)/12)+1)),((Refinance!$B$11+Refinance!$B$13)*(A39/Assumptions!$B$9)+Refinance!$B$12),0)+IF(2=Exit!$B$6,(Exit!$B$9*(A39/Assumptions!$B$9)*(1-(Assumptions!$B$77+Assumptions!$B$78))+Exit!$B$12),0),0)</f>
        <v>44707.076202898599</v>
      </c>
      <c r="E39" s="95">
        <f>IF(3&lt;=Exit!$B$6,(A39/Assumptions!$B$9)*'Equity Returns'!E5+1*'Equity Returns'!E6+IF(AND(Assumptions!$B$67=1,3=(INT((Assumptions!$B$68-1)/12)+1)),((Refinance!$B$11+Refinance!$B$13)*(A39/Assumptions!$B$9)+Refinance!$B$12),0)+IF(3=Exit!$B$6,(Exit!$B$9*(A39/Assumptions!$B$9)*(1-(Assumptions!$B$77+Assumptions!$B$78))+Exit!$B$12),0),0)</f>
        <v>457463.03897998866</v>
      </c>
      <c r="F39" s="95">
        <f>IF(4&lt;=Exit!$B$6,(A39/Assumptions!$B$9)*'Equity Returns'!F5+1*'Equity Returns'!F6+IF(AND(Assumptions!$B$67=1,4=(INT((Assumptions!$B$68-1)/12)+1)),((Refinance!$B$11+Refinance!$B$13)*(A39/Assumptions!$B$9)+Refinance!$B$12),0)+IF(4=Exit!$B$6,(Exit!$B$9*(A39/Assumptions!$B$9)*(1-(Assumptions!$B$77+Assumptions!$B$78))+Exit!$B$12),0),0)</f>
        <v>5839.0753743944661</v>
      </c>
      <c r="G39" s="95">
        <f>IF(5&lt;=Exit!$B$6,(A39/Assumptions!$B$9)*'Equity Returns'!G5+1*'Equity Returns'!G6+IF(AND(Assumptions!$B$67=1,5=(INT((Assumptions!$B$68-1)/12)+1)),((Refinance!$B$11+Refinance!$B$13)*(A39/Assumptions!$B$9)+Refinance!$B$12),0)+IF(5=Exit!$B$6,(Exit!$B$9*(A39/Assumptions!$B$9)*(1-(Assumptions!$B$77+Assumptions!$B$78))+Exit!$B$12),0),0)</f>
        <v>426208.34528743016</v>
      </c>
      <c r="H39" s="95">
        <f>IF(6&lt;=Exit!$B$6,(A39/Assumptions!$B$9)*'Equity Returns'!H5+1*'Equity Returns'!H6+IF(AND(Assumptions!$B$67=1,6=(INT((Assumptions!$B$68-1)/12)+1)),((Refinance!$B$11+Refinance!$B$13)*(A39/Assumptions!$B$9)+Refinance!$B$12),0)+IF(6=Exit!$B$6,(Exit!$B$9*(A39/Assumptions!$B$9)*(1-(Assumptions!$B$77+Assumptions!$B$78))+Exit!$B$12),0),0)</f>
        <v>0</v>
      </c>
      <c r="I39" s="95">
        <f>IF(7&lt;=Exit!$B$6,(A39/Assumptions!$B$9)*'Equity Returns'!I5+1*'Equity Returns'!I6+IF(AND(Assumptions!$B$67=1,7=(INT((Assumptions!$B$68-1)/12)+1)),((Refinance!$B$11+Refinance!$B$13)*(A39/Assumptions!$B$9)+Refinance!$B$12),0)+IF(7=Exit!$B$6,(Exit!$B$9*(A39/Assumptions!$B$9)*(1-(Assumptions!$B$77+Assumptions!$B$78))+Exit!$B$12),0),0)</f>
        <v>0</v>
      </c>
      <c r="J39" s="95">
        <f>IF(8&lt;=Exit!$B$6,(A39/Assumptions!$B$9)*'Equity Returns'!J5+1*'Equity Returns'!J6+IF(AND(Assumptions!$B$67=1,8=(INT((Assumptions!$B$68-1)/12)+1)),((Refinance!$B$11+Refinance!$B$13)*(A39/Assumptions!$B$9)+Refinance!$B$12),0)+IF(8=Exit!$B$6,(Exit!$B$9*(A39/Assumptions!$B$9)*(1-(Assumptions!$B$77+Assumptions!$B$78))+Exit!$B$12),0),0)</f>
        <v>0</v>
      </c>
      <c r="K39" s="95">
        <f>IF(9&lt;=Exit!$B$6,(A39/Assumptions!$B$9)*'Equity Returns'!K5+1*'Equity Returns'!K6+IF(AND(Assumptions!$B$67=1,9=(INT((Assumptions!$B$68-1)/12)+1)),((Refinance!$B$11+Refinance!$B$13)*(A39/Assumptions!$B$9)+Refinance!$B$12),0)+IF(9=Exit!$B$6,(Exit!$B$9*(A39/Assumptions!$B$9)*(1-(Assumptions!$B$77+Assumptions!$B$78))+Exit!$B$12),0),0)</f>
        <v>0</v>
      </c>
      <c r="L39" s="95">
        <f>IF(10&lt;=Exit!$B$6,(A39/Assumptions!$B$9)*'Equity Returns'!L5+1*'Equity Returns'!L6+IF(AND(Assumptions!$B$67=1,10=(INT((Assumptions!$B$68-1)/12)+1)),((Refinance!$B$11+Refinance!$B$13)*(A39/Assumptions!$B$9)+Refinance!$B$12),0)+IF(10=Exit!$B$6,(Exit!$B$9*(A39/Assumptions!$B$9)*(1-(Assumptions!$B$77+Assumptions!$B$78))+Exit!$B$12),0),0)</f>
        <v>0</v>
      </c>
      <c r="M39" s="102">
        <f t="shared" ref="M39:M45" si="5">IFERROR(IRR(B39:L39),0)</f>
        <v>0.12847952144819108</v>
      </c>
    </row>
    <row r="40" spans="1:14" x14ac:dyDescent="0.25">
      <c r="A40" s="105">
        <v>0.83</v>
      </c>
      <c r="B40" s="95">
        <f>-Acquisition!$B$23</f>
        <v>-600100</v>
      </c>
      <c r="C40" s="95">
        <f>IF(1&lt;=Exit!$B$6,(A40/Assumptions!$B$9)*'Equity Returns'!C5+1*'Equity Returns'!C6+IF(AND(Assumptions!$B$67=1,1=(INT((Assumptions!$B$68-1)/12)+1)),((Refinance!$B$11+Refinance!$B$13)*(A40/Assumptions!$B$9)+Refinance!$B$12),0)+IF(1=Exit!$B$6,(Exit!$B$9*(A40/Assumptions!$B$9)*(1-(Assumptions!$B$77+Assumptions!$B$78))+Exit!$B$12),0),0)</f>
        <v>14128.997898550711</v>
      </c>
      <c r="D40" s="95">
        <f>IF(2&lt;=Exit!$B$6,(A40/Assumptions!$B$9)*'Equity Returns'!D5+1*'Equity Returns'!D6+IF(AND(Assumptions!$B$67=1,2=(INT((Assumptions!$B$68-1)/12)+1)),((Refinance!$B$11+Refinance!$B$13)*(A40/Assumptions!$B$9)+Refinance!$B$12),0)+IF(2=Exit!$B$6,(Exit!$B$9*(A40/Assumptions!$B$9)*(1-(Assumptions!$B$77+Assumptions!$B$78))+Exit!$B$12),0),0)</f>
        <v>48601.716560507288</v>
      </c>
      <c r="E40" s="95">
        <f>IF(3&lt;=Exit!$B$6,(A40/Assumptions!$B$9)*'Equity Returns'!E5+1*'Equity Returns'!E6+IF(AND(Assumptions!$B$67=1,3=(INT((Assumptions!$B$68-1)/12)+1)),((Refinance!$B$11+Refinance!$B$13)*(A40/Assumptions!$B$9)+Refinance!$B$12),0)+IF(3=Exit!$B$6,(Exit!$B$9*(A40/Assumptions!$B$9)*(1-(Assumptions!$B$77+Assumptions!$B$78))+Exit!$B$12),0),0)</f>
        <v>511111.29574493133</v>
      </c>
      <c r="F40" s="95">
        <f>IF(4&lt;=Exit!$B$6,(A40/Assumptions!$B$9)*'Equity Returns'!F5+1*'Equity Returns'!F6+IF(AND(Assumptions!$B$67=1,4=(INT((Assumptions!$B$68-1)/12)+1)),((Refinance!$B$11+Refinance!$B$13)*(A40/Assumptions!$B$9)+Refinance!$B$12),0)+IF(4=Exit!$B$6,(Exit!$B$9*(A40/Assumptions!$B$9)*(1-(Assumptions!$B$77+Assumptions!$B$78))+Exit!$B$12),0),0)</f>
        <v>10191.477893641844</v>
      </c>
      <c r="G40" s="95">
        <f>IF(5&lt;=Exit!$B$6,(A40/Assumptions!$B$9)*'Equity Returns'!G5+1*'Equity Returns'!G6+IF(AND(Assumptions!$B$67=1,5=(INT((Assumptions!$B$68-1)/12)+1)),((Refinance!$B$11+Refinance!$B$13)*(A40/Assumptions!$B$9)+Refinance!$B$12),0)+IF(5=Exit!$B$6,(Exit!$B$9*(A40/Assumptions!$B$9)*(1-(Assumptions!$B$77+Assumptions!$B$78))+Exit!$B$12),0),0)</f>
        <v>502257.47105083498</v>
      </c>
      <c r="H40" s="95">
        <f>IF(6&lt;=Exit!$B$6,(A40/Assumptions!$B$9)*'Equity Returns'!H5+1*'Equity Returns'!H6+IF(AND(Assumptions!$B$67=1,6=(INT((Assumptions!$B$68-1)/12)+1)),((Refinance!$B$11+Refinance!$B$13)*(A40/Assumptions!$B$9)+Refinance!$B$12),0)+IF(6=Exit!$B$6,(Exit!$B$9*(A40/Assumptions!$B$9)*(1-(Assumptions!$B$77+Assumptions!$B$78))+Exit!$B$12),0),0)</f>
        <v>0</v>
      </c>
      <c r="I40" s="95">
        <f>IF(7&lt;=Exit!$B$6,(A40/Assumptions!$B$9)*'Equity Returns'!I5+1*'Equity Returns'!I6+IF(AND(Assumptions!$B$67=1,7=(INT((Assumptions!$B$68-1)/12)+1)),((Refinance!$B$11+Refinance!$B$13)*(A40/Assumptions!$B$9)+Refinance!$B$12),0)+IF(7=Exit!$B$6,(Exit!$B$9*(A40/Assumptions!$B$9)*(1-(Assumptions!$B$77+Assumptions!$B$78))+Exit!$B$12),0),0)</f>
        <v>0</v>
      </c>
      <c r="J40" s="95">
        <f>IF(8&lt;=Exit!$B$6,(A40/Assumptions!$B$9)*'Equity Returns'!J5+1*'Equity Returns'!J6+IF(AND(Assumptions!$B$67=1,8=(INT((Assumptions!$B$68-1)/12)+1)),((Refinance!$B$11+Refinance!$B$13)*(A40/Assumptions!$B$9)+Refinance!$B$12),0)+IF(8=Exit!$B$6,(Exit!$B$9*(A40/Assumptions!$B$9)*(1-(Assumptions!$B$77+Assumptions!$B$78))+Exit!$B$12),0),0)</f>
        <v>0</v>
      </c>
      <c r="K40" s="95">
        <f>IF(9&lt;=Exit!$B$6,(A40/Assumptions!$B$9)*'Equity Returns'!K5+1*'Equity Returns'!K6+IF(AND(Assumptions!$B$67=1,9=(INT((Assumptions!$B$68-1)/12)+1)),((Refinance!$B$11+Refinance!$B$13)*(A40/Assumptions!$B$9)+Refinance!$B$12),0)+IF(9=Exit!$B$6,(Exit!$B$9*(A40/Assumptions!$B$9)*(1-(Assumptions!$B$77+Assumptions!$B$78))+Exit!$B$12),0),0)</f>
        <v>0</v>
      </c>
      <c r="L40" s="95">
        <f>IF(10&lt;=Exit!$B$6,(A40/Assumptions!$B$9)*'Equity Returns'!L5+1*'Equity Returns'!L6+IF(AND(Assumptions!$B$67=1,10=(INT((Assumptions!$B$68-1)/12)+1)),((Refinance!$B$11+Refinance!$B$13)*(A40/Assumptions!$B$9)+Refinance!$B$12),0)+IF(10=Exit!$B$6,(Exit!$B$9*(A40/Assumptions!$B$9)*(1-(Assumptions!$B$77+Assumptions!$B$78))+Exit!$B$12),0),0)</f>
        <v>0</v>
      </c>
      <c r="M40" s="102">
        <f t="shared" si="5"/>
        <v>0.17059807179039121</v>
      </c>
    </row>
    <row r="41" spans="1:14" x14ac:dyDescent="0.25">
      <c r="A41" s="105">
        <v>0.86</v>
      </c>
      <c r="B41" s="95">
        <f>-Acquisition!$B$23</f>
        <v>-600100</v>
      </c>
      <c r="C41" s="95">
        <f>IF(1&lt;=Exit!$B$6,(A41/Assumptions!$B$9)*'Equity Returns'!C5+1*'Equity Returns'!C6+IF(AND(Assumptions!$B$67=1,1=(INT((Assumptions!$B$68-1)/12)+1)),((Refinance!$B$11+Refinance!$B$13)*(A41/Assumptions!$B$9)+Refinance!$B$12),0)+IF(1=Exit!$B$6,(Exit!$B$9*(A41/Assumptions!$B$9)*(1-(Assumptions!$B$77+Assumptions!$B$78))+Exit!$B$12),0),0)</f>
        <v>16777.636376811577</v>
      </c>
      <c r="D41" s="95">
        <f>IF(2&lt;=Exit!$B$6,(A41/Assumptions!$B$9)*'Equity Returns'!D5+1*'Equity Returns'!D6+IF(AND(Assumptions!$B$67=1,2=(INT((Assumptions!$B$68-1)/12)+1)),((Refinance!$B$11+Refinance!$B$13)*(A41/Assumptions!$B$9)+Refinance!$B$12),0)+IF(2=Exit!$B$6,(Exit!$B$9*(A41/Assumptions!$B$9)*(1-(Assumptions!$B$77+Assumptions!$B$78))+Exit!$B$12),0),0)</f>
        <v>52496.356918115991</v>
      </c>
      <c r="E41" s="95">
        <f>IF(3&lt;=Exit!$B$6,(A41/Assumptions!$B$9)*'Equity Returns'!E5+1*'Equity Returns'!E6+IF(AND(Assumptions!$B$67=1,3=(INT((Assumptions!$B$68-1)/12)+1)),((Refinance!$B$11+Refinance!$B$13)*(A41/Assumptions!$B$9)+Refinance!$B$12),0)+IF(3=Exit!$B$6,(Exit!$B$9*(A41/Assumptions!$B$9)*(1-(Assumptions!$B$77+Assumptions!$B$78))+Exit!$B$12),0),0)</f>
        <v>564759.55250987445</v>
      </c>
      <c r="F41" s="95">
        <f>IF(4&lt;=Exit!$B$6,(A41/Assumptions!$B$9)*'Equity Returns'!F5+1*'Equity Returns'!F6+IF(AND(Assumptions!$B$67=1,4=(INT((Assumptions!$B$68-1)/12)+1)),((Refinance!$B$11+Refinance!$B$13)*(A41/Assumptions!$B$9)+Refinance!$B$12),0)+IF(4=Exit!$B$6,(Exit!$B$9*(A41/Assumptions!$B$9)*(1-(Assumptions!$B$77+Assumptions!$B$78))+Exit!$B$12),0),0)</f>
        <v>14543.880412889237</v>
      </c>
      <c r="G41" s="95">
        <f>IF(5&lt;=Exit!$B$6,(A41/Assumptions!$B$9)*'Equity Returns'!G5+1*'Equity Returns'!G6+IF(AND(Assumptions!$B$67=1,5=(INT((Assumptions!$B$68-1)/12)+1)),((Refinance!$B$11+Refinance!$B$13)*(A41/Assumptions!$B$9)+Refinance!$B$12),0)+IF(5=Exit!$B$6,(Exit!$B$9*(A41/Assumptions!$B$9)*(1-(Assumptions!$B$77+Assumptions!$B$78))+Exit!$B$12),0),0)</f>
        <v>578306.59681424021</v>
      </c>
      <c r="H41" s="95">
        <f>IF(6&lt;=Exit!$B$6,(A41/Assumptions!$B$9)*'Equity Returns'!H5+1*'Equity Returns'!H6+IF(AND(Assumptions!$B$67=1,6=(INT((Assumptions!$B$68-1)/12)+1)),((Refinance!$B$11+Refinance!$B$13)*(A41/Assumptions!$B$9)+Refinance!$B$12),0)+IF(6=Exit!$B$6,(Exit!$B$9*(A41/Assumptions!$B$9)*(1-(Assumptions!$B$77+Assumptions!$B$78))+Exit!$B$12),0),0)</f>
        <v>0</v>
      </c>
      <c r="I41" s="95">
        <f>IF(7&lt;=Exit!$B$6,(A41/Assumptions!$B$9)*'Equity Returns'!I5+1*'Equity Returns'!I6+IF(AND(Assumptions!$B$67=1,7=(INT((Assumptions!$B$68-1)/12)+1)),((Refinance!$B$11+Refinance!$B$13)*(A41/Assumptions!$B$9)+Refinance!$B$12),0)+IF(7=Exit!$B$6,(Exit!$B$9*(A41/Assumptions!$B$9)*(1-(Assumptions!$B$77+Assumptions!$B$78))+Exit!$B$12),0),0)</f>
        <v>0</v>
      </c>
      <c r="J41" s="95">
        <f>IF(8&lt;=Exit!$B$6,(A41/Assumptions!$B$9)*'Equity Returns'!J5+1*'Equity Returns'!J6+IF(AND(Assumptions!$B$67=1,8=(INT((Assumptions!$B$68-1)/12)+1)),((Refinance!$B$11+Refinance!$B$13)*(A41/Assumptions!$B$9)+Refinance!$B$12),0)+IF(8=Exit!$B$6,(Exit!$B$9*(A41/Assumptions!$B$9)*(1-(Assumptions!$B$77+Assumptions!$B$78))+Exit!$B$12),0),0)</f>
        <v>0</v>
      </c>
      <c r="K41" s="95">
        <f>IF(9&lt;=Exit!$B$6,(A41/Assumptions!$B$9)*'Equity Returns'!K5+1*'Equity Returns'!K6+IF(AND(Assumptions!$B$67=1,9=(INT((Assumptions!$B$68-1)/12)+1)),((Refinance!$B$11+Refinance!$B$13)*(A41/Assumptions!$B$9)+Refinance!$B$12),0)+IF(9=Exit!$B$6,(Exit!$B$9*(A41/Assumptions!$B$9)*(1-(Assumptions!$B$77+Assumptions!$B$78))+Exit!$B$12),0),0)</f>
        <v>0</v>
      </c>
      <c r="L41" s="95">
        <f>IF(10&lt;=Exit!$B$6,(A41/Assumptions!$B$9)*'Equity Returns'!L5+1*'Equity Returns'!L6+IF(AND(Assumptions!$B$67=1,10=(INT((Assumptions!$B$68-1)/12)+1)),((Refinance!$B$11+Refinance!$B$13)*(A41/Assumptions!$B$9)+Refinance!$B$12),0)+IF(10=Exit!$B$6,(Exit!$B$9*(A41/Assumptions!$B$9)*(1-(Assumptions!$B$77+Assumptions!$B$78))+Exit!$B$12),0),0)</f>
        <v>0</v>
      </c>
      <c r="M41" s="102">
        <f t="shared" si="5"/>
        <v>0.20898302707240357</v>
      </c>
    </row>
    <row r="42" spans="1:14" x14ac:dyDescent="0.25">
      <c r="A42" s="105">
        <v>0.89</v>
      </c>
      <c r="B42" s="95">
        <f>-Acquisition!$B$23</f>
        <v>-600100</v>
      </c>
      <c r="C42" s="95">
        <f>IF(1&lt;=Exit!$B$6,(A42/Assumptions!$B$9)*'Equity Returns'!C5+1*'Equity Returns'!C6+IF(AND(Assumptions!$B$67=1,1=(INT((Assumptions!$B$68-1)/12)+1)),((Refinance!$B$11+Refinance!$B$13)*(A42/Assumptions!$B$9)+Refinance!$B$12),0)+IF(1=Exit!$B$6,(Exit!$B$9*(A42/Assumptions!$B$9)*(1-(Assumptions!$B$77+Assumptions!$B$78))+Exit!$B$12),0),0)</f>
        <v>19426.274855072457</v>
      </c>
      <c r="D42" s="95">
        <f>IF(2&lt;=Exit!$B$6,(A42/Assumptions!$B$9)*'Equity Returns'!D5+1*'Equity Returns'!D6+IF(AND(Assumptions!$B$67=1,2=(INT((Assumptions!$B$68-1)/12)+1)),((Refinance!$B$11+Refinance!$B$13)*(A42/Assumptions!$B$9)+Refinance!$B$12),0)+IF(2=Exit!$B$6,(Exit!$B$9*(A42/Assumptions!$B$9)*(1-(Assumptions!$B$77+Assumptions!$B$78))+Exit!$B$12),0),0)</f>
        <v>56390.997275724694</v>
      </c>
      <c r="E42" s="95">
        <f>IF(3&lt;=Exit!$B$6,(A42/Assumptions!$B$9)*'Equity Returns'!E5+1*'Equity Returns'!E6+IF(AND(Assumptions!$B$67=1,3=(INT((Assumptions!$B$68-1)/12)+1)),((Refinance!$B$11+Refinance!$B$13)*(A42/Assumptions!$B$9)+Refinance!$B$12),0)+IF(3=Exit!$B$6,(Exit!$B$9*(A42/Assumptions!$B$9)*(1-(Assumptions!$B$77+Assumptions!$B$78))+Exit!$B$12),0),0)</f>
        <v>618407.80927481735</v>
      </c>
      <c r="F42" s="95">
        <f>IF(4&lt;=Exit!$B$6,(A42/Assumptions!$B$9)*'Equity Returns'!F5+1*'Equity Returns'!F6+IF(AND(Assumptions!$B$67=1,4=(INT((Assumptions!$B$68-1)/12)+1)),((Refinance!$B$11+Refinance!$B$13)*(A42/Assumptions!$B$9)+Refinance!$B$12),0)+IF(4=Exit!$B$6,(Exit!$B$9*(A42/Assumptions!$B$9)*(1-(Assumptions!$B$77+Assumptions!$B$78))+Exit!$B$12),0),0)</f>
        <v>18896.282932136644</v>
      </c>
      <c r="G42" s="95">
        <f>IF(5&lt;=Exit!$B$6,(A42/Assumptions!$B$9)*'Equity Returns'!G5+1*'Equity Returns'!G6+IF(AND(Assumptions!$B$67=1,5=(INT((Assumptions!$B$68-1)/12)+1)),((Refinance!$B$11+Refinance!$B$13)*(A42/Assumptions!$B$9)+Refinance!$B$12),0)+IF(5=Exit!$B$6,(Exit!$B$9*(A42/Assumptions!$B$9)*(1-(Assumptions!$B$77+Assumptions!$B$78))+Exit!$B$12),0),0)</f>
        <v>654355.72257764533</v>
      </c>
      <c r="H42" s="95">
        <f>IF(6&lt;=Exit!$B$6,(A42/Assumptions!$B$9)*'Equity Returns'!H5+1*'Equity Returns'!H6+IF(AND(Assumptions!$B$67=1,6=(INT((Assumptions!$B$68-1)/12)+1)),((Refinance!$B$11+Refinance!$B$13)*(A42/Assumptions!$B$9)+Refinance!$B$12),0)+IF(6=Exit!$B$6,(Exit!$B$9*(A42/Assumptions!$B$9)*(1-(Assumptions!$B$77+Assumptions!$B$78))+Exit!$B$12),0),0)</f>
        <v>0</v>
      </c>
      <c r="I42" s="95">
        <f>IF(7&lt;=Exit!$B$6,(A42/Assumptions!$B$9)*'Equity Returns'!I5+1*'Equity Returns'!I6+IF(AND(Assumptions!$B$67=1,7=(INT((Assumptions!$B$68-1)/12)+1)),((Refinance!$B$11+Refinance!$B$13)*(A42/Assumptions!$B$9)+Refinance!$B$12),0)+IF(7=Exit!$B$6,(Exit!$B$9*(A42/Assumptions!$B$9)*(1-(Assumptions!$B$77+Assumptions!$B$78))+Exit!$B$12),0),0)</f>
        <v>0</v>
      </c>
      <c r="J42" s="95">
        <f>IF(8&lt;=Exit!$B$6,(A42/Assumptions!$B$9)*'Equity Returns'!J5+1*'Equity Returns'!J6+IF(AND(Assumptions!$B$67=1,8=(INT((Assumptions!$B$68-1)/12)+1)),((Refinance!$B$11+Refinance!$B$13)*(A42/Assumptions!$B$9)+Refinance!$B$12),0)+IF(8=Exit!$B$6,(Exit!$B$9*(A42/Assumptions!$B$9)*(1-(Assumptions!$B$77+Assumptions!$B$78))+Exit!$B$12),0),0)</f>
        <v>0</v>
      </c>
      <c r="K42" s="95">
        <f>IF(9&lt;=Exit!$B$6,(A42/Assumptions!$B$9)*'Equity Returns'!K5+1*'Equity Returns'!K6+IF(AND(Assumptions!$B$67=1,9=(INT((Assumptions!$B$68-1)/12)+1)),((Refinance!$B$11+Refinance!$B$13)*(A42/Assumptions!$B$9)+Refinance!$B$12),0)+IF(9=Exit!$B$6,(Exit!$B$9*(A42/Assumptions!$B$9)*(1-(Assumptions!$B$77+Assumptions!$B$78))+Exit!$B$12),0),0)</f>
        <v>0</v>
      </c>
      <c r="L42" s="95">
        <f>IF(10&lt;=Exit!$B$6,(A42/Assumptions!$B$9)*'Equity Returns'!L5+1*'Equity Returns'!L6+IF(AND(Assumptions!$B$67=1,10=(INT((Assumptions!$B$68-1)/12)+1)),((Refinance!$B$11+Refinance!$B$13)*(A42/Assumptions!$B$9)+Refinance!$B$12),0)+IF(10=Exit!$B$6,(Exit!$B$9*(A42/Assumptions!$B$9)*(1-(Assumptions!$B$77+Assumptions!$B$78))+Exit!$B$12),0),0)</f>
        <v>0</v>
      </c>
      <c r="M42" s="102">
        <f t="shared" si="5"/>
        <v>0.24440747700159959</v>
      </c>
    </row>
    <row r="43" spans="1:14" x14ac:dyDescent="0.25">
      <c r="A43" s="105">
        <v>0.92</v>
      </c>
      <c r="B43" s="95">
        <f>-Acquisition!$B$23</f>
        <v>-600100</v>
      </c>
      <c r="C43" s="95">
        <f>IF(1&lt;=Exit!$B$6,(A43/Assumptions!$B$9)*'Equity Returns'!C5+1*'Equity Returns'!C6+IF(AND(Assumptions!$B$67=1,1=(INT((Assumptions!$B$68-1)/12)+1)),((Refinance!$B$11+Refinance!$B$13)*(A43/Assumptions!$B$9)+Refinance!$B$12),0)+IF(1=Exit!$B$6,(Exit!$B$9*(A43/Assumptions!$B$9)*(1-(Assumptions!$B$77+Assumptions!$B$78))+Exit!$B$12),0),0)</f>
        <v>22074.913333333323</v>
      </c>
      <c r="D43" s="95">
        <f>IF(2&lt;=Exit!$B$6,(A43/Assumptions!$B$9)*'Equity Returns'!D5+1*'Equity Returns'!D6+IF(AND(Assumptions!$B$67=1,2=(INT((Assumptions!$B$68-1)/12)+1)),((Refinance!$B$11+Refinance!$B$13)*(A43/Assumptions!$B$9)+Refinance!$B$12),0)+IF(2=Exit!$B$6,(Exit!$B$9*(A43/Assumptions!$B$9)*(1-(Assumptions!$B$77+Assumptions!$B$78))+Exit!$B$12),0),0)</f>
        <v>60285.637633333397</v>
      </c>
      <c r="E43" s="95">
        <f>IF(3&lt;=Exit!$B$6,(A43/Assumptions!$B$9)*'Equity Returns'!E5+1*'Equity Returns'!E6+IF(AND(Assumptions!$B$67=1,3=(INT((Assumptions!$B$68-1)/12)+1)),((Refinance!$B$11+Refinance!$B$13)*(A43/Assumptions!$B$9)+Refinance!$B$12),0)+IF(3=Exit!$B$6,(Exit!$B$9*(A43/Assumptions!$B$9)*(1-(Assumptions!$B$77+Assumptions!$B$78))+Exit!$B$12),0),0)</f>
        <v>672056.06603976048</v>
      </c>
      <c r="F43" s="95">
        <f>IF(4&lt;=Exit!$B$6,(A43/Assumptions!$B$9)*'Equity Returns'!F5+1*'Equity Returns'!F6+IF(AND(Assumptions!$B$67=1,4=(INT((Assumptions!$B$68-1)/12)+1)),((Refinance!$B$11+Refinance!$B$13)*(A43/Assumptions!$B$9)+Refinance!$B$12),0)+IF(4=Exit!$B$6,(Exit!$B$9*(A43/Assumptions!$B$9)*(1-(Assumptions!$B$77+Assumptions!$B$78))+Exit!$B$12),0),0)</f>
        <v>23248.685451384037</v>
      </c>
      <c r="G43" s="95">
        <f>IF(5&lt;=Exit!$B$6,(A43/Assumptions!$B$9)*'Equity Returns'!G5+1*'Equity Returns'!G6+IF(AND(Assumptions!$B$67=1,5=(INT((Assumptions!$B$68-1)/12)+1)),((Refinance!$B$11+Refinance!$B$13)*(A43/Assumptions!$B$9)+Refinance!$B$12),0)+IF(5=Exit!$B$6,(Exit!$B$9*(A43/Assumptions!$B$9)*(1-(Assumptions!$B$77+Assumptions!$B$78))+Exit!$B$12),0),0)</f>
        <v>730404.84834105056</v>
      </c>
      <c r="H43" s="95">
        <f>IF(6&lt;=Exit!$B$6,(A43/Assumptions!$B$9)*'Equity Returns'!H5+1*'Equity Returns'!H6+IF(AND(Assumptions!$B$67=1,6=(INT((Assumptions!$B$68-1)/12)+1)),((Refinance!$B$11+Refinance!$B$13)*(A43/Assumptions!$B$9)+Refinance!$B$12),0)+IF(6=Exit!$B$6,(Exit!$B$9*(A43/Assumptions!$B$9)*(1-(Assumptions!$B$77+Assumptions!$B$78))+Exit!$B$12),0),0)</f>
        <v>0</v>
      </c>
      <c r="I43" s="95">
        <f>IF(7&lt;=Exit!$B$6,(A43/Assumptions!$B$9)*'Equity Returns'!I5+1*'Equity Returns'!I6+IF(AND(Assumptions!$B$67=1,7=(INT((Assumptions!$B$68-1)/12)+1)),((Refinance!$B$11+Refinance!$B$13)*(A43/Assumptions!$B$9)+Refinance!$B$12),0)+IF(7=Exit!$B$6,(Exit!$B$9*(A43/Assumptions!$B$9)*(1-(Assumptions!$B$77+Assumptions!$B$78))+Exit!$B$12),0),0)</f>
        <v>0</v>
      </c>
      <c r="J43" s="95">
        <f>IF(8&lt;=Exit!$B$6,(A43/Assumptions!$B$9)*'Equity Returns'!J5+1*'Equity Returns'!J6+IF(AND(Assumptions!$B$67=1,8=(INT((Assumptions!$B$68-1)/12)+1)),((Refinance!$B$11+Refinance!$B$13)*(A43/Assumptions!$B$9)+Refinance!$B$12),0)+IF(8=Exit!$B$6,(Exit!$B$9*(A43/Assumptions!$B$9)*(1-(Assumptions!$B$77+Assumptions!$B$78))+Exit!$B$12),0),0)</f>
        <v>0</v>
      </c>
      <c r="K43" s="95">
        <f>IF(9&lt;=Exit!$B$6,(A43/Assumptions!$B$9)*'Equity Returns'!K5+1*'Equity Returns'!K6+IF(AND(Assumptions!$B$67=1,9=(INT((Assumptions!$B$68-1)/12)+1)),((Refinance!$B$11+Refinance!$B$13)*(A43/Assumptions!$B$9)+Refinance!$B$12),0)+IF(9=Exit!$B$6,(Exit!$B$9*(A43/Assumptions!$B$9)*(1-(Assumptions!$B$77+Assumptions!$B$78))+Exit!$B$12),0),0)</f>
        <v>0</v>
      </c>
      <c r="L43" s="95">
        <f>IF(10&lt;=Exit!$B$6,(A43/Assumptions!$B$9)*'Equity Returns'!L5+1*'Equity Returns'!L6+IF(AND(Assumptions!$B$67=1,10=(INT((Assumptions!$B$68-1)/12)+1)),((Refinance!$B$11+Refinance!$B$13)*(A43/Assumptions!$B$9)+Refinance!$B$12),0)+IF(10=Exit!$B$6,(Exit!$B$9*(A43/Assumptions!$B$9)*(1-(Assumptions!$B$77+Assumptions!$B$78))+Exit!$B$12),0),0)</f>
        <v>0</v>
      </c>
      <c r="M43" s="102">
        <f t="shared" si="5"/>
        <v>0.27741656061743125</v>
      </c>
    </row>
    <row r="44" spans="1:14" x14ac:dyDescent="0.25">
      <c r="A44" s="105">
        <v>0.95</v>
      </c>
      <c r="B44" s="95">
        <f>-Acquisition!$B$23</f>
        <v>-600100</v>
      </c>
      <c r="C44" s="95">
        <f>IF(1&lt;=Exit!$B$6,(A44/Assumptions!$B$9)*'Equity Returns'!C5+1*'Equity Returns'!C6+IF(AND(Assumptions!$B$67=1,1=(INT((Assumptions!$B$68-1)/12)+1)),((Refinance!$B$11+Refinance!$B$13)*(A44/Assumptions!$B$9)+Refinance!$B$12),0)+IF(1=Exit!$B$6,(Exit!$B$9*(A44/Assumptions!$B$9)*(1-(Assumptions!$B$77+Assumptions!$B$78))+Exit!$B$12),0),0)</f>
        <v>24723.551811594189</v>
      </c>
      <c r="D44" s="95">
        <f>IF(2&lt;=Exit!$B$6,(A44/Assumptions!$B$9)*'Equity Returns'!D5+1*'Equity Returns'!D6+IF(AND(Assumptions!$B$67=1,2=(INT((Assumptions!$B$68-1)/12)+1)),((Refinance!$B$11+Refinance!$B$13)*(A44/Assumptions!$B$9)+Refinance!$B$12),0)+IF(2=Exit!$B$6,(Exit!$B$9*(A44/Assumptions!$B$9)*(1-(Assumptions!$B$77+Assumptions!$B$78))+Exit!$B$12),0),0)</f>
        <v>64180.277990942086</v>
      </c>
      <c r="E44" s="95">
        <f>IF(3&lt;=Exit!$B$6,(A44/Assumptions!$B$9)*'Equity Returns'!E5+1*'Equity Returns'!E6+IF(AND(Assumptions!$B$67=1,3=(INT((Assumptions!$B$68-1)/12)+1)),((Refinance!$B$11+Refinance!$B$13)*(A44/Assumptions!$B$9)+Refinance!$B$12),0)+IF(3=Exit!$B$6,(Exit!$B$9*(A44/Assumptions!$B$9)*(1-(Assumptions!$B$77+Assumptions!$B$78))+Exit!$B$12),0),0)</f>
        <v>725704.32280470338</v>
      </c>
      <c r="F44" s="95">
        <f>IF(4&lt;=Exit!$B$6,(A44/Assumptions!$B$9)*'Equity Returns'!F5+1*'Equity Returns'!F6+IF(AND(Assumptions!$B$67=1,4=(INT((Assumptions!$B$68-1)/12)+1)),((Refinance!$B$11+Refinance!$B$13)*(A44/Assumptions!$B$9)+Refinance!$B$12),0)+IF(4=Exit!$B$6,(Exit!$B$9*(A44/Assumptions!$B$9)*(1-(Assumptions!$B$77+Assumptions!$B$78))+Exit!$B$12),0),0)</f>
        <v>27601.087970631415</v>
      </c>
      <c r="G44" s="95">
        <f>IF(5&lt;=Exit!$B$6,(A44/Assumptions!$B$9)*'Equity Returns'!G5+1*'Equity Returns'!G6+IF(AND(Assumptions!$B$67=1,5=(INT((Assumptions!$B$68-1)/12)+1)),((Refinance!$B$11+Refinance!$B$13)*(A44/Assumptions!$B$9)+Refinance!$B$12),0)+IF(5=Exit!$B$6,(Exit!$B$9*(A44/Assumptions!$B$9)*(1-(Assumptions!$B$77+Assumptions!$B$78))+Exit!$B$12),0),0)</f>
        <v>806453.97410445532</v>
      </c>
      <c r="H44" s="95">
        <f>IF(6&lt;=Exit!$B$6,(A44/Assumptions!$B$9)*'Equity Returns'!H5+1*'Equity Returns'!H6+IF(AND(Assumptions!$B$67=1,6=(INT((Assumptions!$B$68-1)/12)+1)),((Refinance!$B$11+Refinance!$B$13)*(A44/Assumptions!$B$9)+Refinance!$B$12),0)+IF(6=Exit!$B$6,(Exit!$B$9*(A44/Assumptions!$B$9)*(1-(Assumptions!$B$77+Assumptions!$B$78))+Exit!$B$12),0),0)</f>
        <v>0</v>
      </c>
      <c r="I44" s="95">
        <f>IF(7&lt;=Exit!$B$6,(A44/Assumptions!$B$9)*'Equity Returns'!I5+1*'Equity Returns'!I6+IF(AND(Assumptions!$B$67=1,7=(INT((Assumptions!$B$68-1)/12)+1)),((Refinance!$B$11+Refinance!$B$13)*(A44/Assumptions!$B$9)+Refinance!$B$12),0)+IF(7=Exit!$B$6,(Exit!$B$9*(A44/Assumptions!$B$9)*(1-(Assumptions!$B$77+Assumptions!$B$78))+Exit!$B$12),0),0)</f>
        <v>0</v>
      </c>
      <c r="J44" s="95">
        <f>IF(8&lt;=Exit!$B$6,(A44/Assumptions!$B$9)*'Equity Returns'!J5+1*'Equity Returns'!J6+IF(AND(Assumptions!$B$67=1,8=(INT((Assumptions!$B$68-1)/12)+1)),((Refinance!$B$11+Refinance!$B$13)*(A44/Assumptions!$B$9)+Refinance!$B$12),0)+IF(8=Exit!$B$6,(Exit!$B$9*(A44/Assumptions!$B$9)*(1-(Assumptions!$B$77+Assumptions!$B$78))+Exit!$B$12),0),0)</f>
        <v>0</v>
      </c>
      <c r="K44" s="95">
        <f>IF(9&lt;=Exit!$B$6,(A44/Assumptions!$B$9)*'Equity Returns'!K5+1*'Equity Returns'!K6+IF(AND(Assumptions!$B$67=1,9=(INT((Assumptions!$B$68-1)/12)+1)),((Refinance!$B$11+Refinance!$B$13)*(A44/Assumptions!$B$9)+Refinance!$B$12),0)+IF(9=Exit!$B$6,(Exit!$B$9*(A44/Assumptions!$B$9)*(1-(Assumptions!$B$77+Assumptions!$B$78))+Exit!$B$12),0),0)</f>
        <v>0</v>
      </c>
      <c r="L44" s="95">
        <f>IF(10&lt;=Exit!$B$6,(A44/Assumptions!$B$9)*'Equity Returns'!L5+1*'Equity Returns'!L6+IF(AND(Assumptions!$B$67=1,10=(INT((Assumptions!$B$68-1)/12)+1)),((Refinance!$B$11+Refinance!$B$13)*(A44/Assumptions!$B$9)+Refinance!$B$12),0)+IF(10=Exit!$B$6,(Exit!$B$9*(A44/Assumptions!$B$9)*(1-(Assumptions!$B$77+Assumptions!$B$78))+Exit!$B$12),0),0)</f>
        <v>0</v>
      </c>
      <c r="M44" s="102">
        <f t="shared" si="5"/>
        <v>0.30841071441590429</v>
      </c>
    </row>
    <row r="45" spans="1:14" x14ac:dyDescent="0.25">
      <c r="A45" s="105">
        <v>0.98</v>
      </c>
      <c r="B45" s="95">
        <f>-Acquisition!$B$23</f>
        <v>-600100</v>
      </c>
      <c r="C45" s="95">
        <f>IF(1&lt;=Exit!$B$6,(A45/Assumptions!$B$9)*'Equity Returns'!C5+1*'Equity Returns'!C6+IF(AND(Assumptions!$B$67=1,1=(INT((Assumptions!$B$68-1)/12)+1)),((Refinance!$B$11+Refinance!$B$13)*(A45/Assumptions!$B$9)+Refinance!$B$12),0)+IF(1=Exit!$B$6,(Exit!$B$9*(A45/Assumptions!$B$9)*(1-(Assumptions!$B$77+Assumptions!$B$78))+Exit!$B$12),0),0)</f>
        <v>27372.190289855054</v>
      </c>
      <c r="D45" s="95">
        <f>IF(2&lt;=Exit!$B$6,(A45/Assumptions!$B$9)*'Equity Returns'!D5+1*'Equity Returns'!D6+IF(AND(Assumptions!$B$67=1,2=(INT((Assumptions!$B$68-1)/12)+1)),((Refinance!$B$11+Refinance!$B$13)*(A45/Assumptions!$B$9)+Refinance!$B$12),0)+IF(2=Exit!$B$6,(Exit!$B$9*(A45/Assumptions!$B$9)*(1-(Assumptions!$B$77+Assumptions!$B$78))+Exit!$B$12),0),0)</f>
        <v>68074.918348550767</v>
      </c>
      <c r="E45" s="95">
        <f>IF(3&lt;=Exit!$B$6,(A45/Assumptions!$B$9)*'Equity Returns'!E5+1*'Equity Returns'!E6+IF(AND(Assumptions!$B$67=1,3=(INT((Assumptions!$B$68-1)/12)+1)),((Refinance!$B$11+Refinance!$B$13)*(A45/Assumptions!$B$9)+Refinance!$B$12),0)+IF(3=Exit!$B$6,(Exit!$B$9*(A45/Assumptions!$B$9)*(1-(Assumptions!$B$77+Assumptions!$B$78))+Exit!$B$12),0),0)</f>
        <v>779352.57956964627</v>
      </c>
      <c r="F45" s="95">
        <f>IF(4&lt;=Exit!$B$6,(A45/Assumptions!$B$9)*'Equity Returns'!F5+1*'Equity Returns'!F6+IF(AND(Assumptions!$B$67=1,4=(INT((Assumptions!$B$68-1)/12)+1)),((Refinance!$B$11+Refinance!$B$13)*(A45/Assumptions!$B$9)+Refinance!$B$12),0)+IF(4=Exit!$B$6,(Exit!$B$9*(A45/Assumptions!$B$9)*(1-(Assumptions!$B$77+Assumptions!$B$78))+Exit!$B$12),0),0)</f>
        <v>31953.490489878794</v>
      </c>
      <c r="G45" s="95">
        <f>IF(5&lt;=Exit!$B$6,(A45/Assumptions!$B$9)*'Equity Returns'!G5+1*'Equity Returns'!G6+IF(AND(Assumptions!$B$67=1,5=(INT((Assumptions!$B$68-1)/12)+1)),((Refinance!$B$11+Refinance!$B$13)*(A45/Assumptions!$B$9)+Refinance!$B$12),0)+IF(5=Exit!$B$6,(Exit!$B$9*(A45/Assumptions!$B$9)*(1-(Assumptions!$B$77+Assumptions!$B$78))+Exit!$B$12),0),0)</f>
        <v>882503.0998678602</v>
      </c>
      <c r="H45" s="95">
        <f>IF(6&lt;=Exit!$B$6,(A45/Assumptions!$B$9)*'Equity Returns'!H5+1*'Equity Returns'!H6+IF(AND(Assumptions!$B$67=1,6=(INT((Assumptions!$B$68-1)/12)+1)),((Refinance!$B$11+Refinance!$B$13)*(A45/Assumptions!$B$9)+Refinance!$B$12),0)+IF(6=Exit!$B$6,(Exit!$B$9*(A45/Assumptions!$B$9)*(1-(Assumptions!$B$77+Assumptions!$B$78))+Exit!$B$12),0),0)</f>
        <v>0</v>
      </c>
      <c r="I45" s="95">
        <f>IF(7&lt;=Exit!$B$6,(A45/Assumptions!$B$9)*'Equity Returns'!I5+1*'Equity Returns'!I6+IF(AND(Assumptions!$B$67=1,7=(INT((Assumptions!$B$68-1)/12)+1)),((Refinance!$B$11+Refinance!$B$13)*(A45/Assumptions!$B$9)+Refinance!$B$12),0)+IF(7=Exit!$B$6,(Exit!$B$9*(A45/Assumptions!$B$9)*(1-(Assumptions!$B$77+Assumptions!$B$78))+Exit!$B$12),0),0)</f>
        <v>0</v>
      </c>
      <c r="J45" s="95">
        <f>IF(8&lt;=Exit!$B$6,(A45/Assumptions!$B$9)*'Equity Returns'!J5+1*'Equity Returns'!J6+IF(AND(Assumptions!$B$67=1,8=(INT((Assumptions!$B$68-1)/12)+1)),((Refinance!$B$11+Refinance!$B$13)*(A45/Assumptions!$B$9)+Refinance!$B$12),0)+IF(8=Exit!$B$6,(Exit!$B$9*(A45/Assumptions!$B$9)*(1-(Assumptions!$B$77+Assumptions!$B$78))+Exit!$B$12),0),0)</f>
        <v>0</v>
      </c>
      <c r="K45" s="95">
        <f>IF(9&lt;=Exit!$B$6,(A45/Assumptions!$B$9)*'Equity Returns'!K5+1*'Equity Returns'!K6+IF(AND(Assumptions!$B$67=1,9=(INT((Assumptions!$B$68-1)/12)+1)),((Refinance!$B$11+Refinance!$B$13)*(A45/Assumptions!$B$9)+Refinance!$B$12),0)+IF(9=Exit!$B$6,(Exit!$B$9*(A45/Assumptions!$B$9)*(1-(Assumptions!$B$77+Assumptions!$B$78))+Exit!$B$12),0),0)</f>
        <v>0</v>
      </c>
      <c r="L45" s="95">
        <f>IF(10&lt;=Exit!$B$6,(A45/Assumptions!$B$9)*'Equity Returns'!L5+1*'Equity Returns'!L6+IF(AND(Assumptions!$B$67=1,10=(INT((Assumptions!$B$68-1)/12)+1)),((Refinance!$B$11+Refinance!$B$13)*(A45/Assumptions!$B$9)+Refinance!$B$12),0)+IF(10=Exit!$B$6,(Exit!$B$9*(A45/Assumptions!$B$9)*(1-(Assumptions!$B$77+Assumptions!$B$78))+Exit!$B$12),0),0)</f>
        <v>0</v>
      </c>
      <c r="M45" s="102">
        <f t="shared" si="5"/>
        <v>0.33769371557667638</v>
      </c>
    </row>
    <row r="48" spans="1:14" x14ac:dyDescent="0.25">
      <c r="A48" s="143" t="s">
        <v>437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</row>
    <row r="49" spans="1:14" x14ac:dyDescent="0.25">
      <c r="A49" s="19" t="s">
        <v>344</v>
      </c>
      <c r="B49" s="94" t="s">
        <v>404</v>
      </c>
      <c r="C49" s="94" t="s">
        <v>26</v>
      </c>
      <c r="D49" s="94" t="s">
        <v>27</v>
      </c>
      <c r="E49" s="94" t="s">
        <v>28</v>
      </c>
      <c r="F49" s="94" t="s">
        <v>29</v>
      </c>
      <c r="G49" s="94" t="s">
        <v>30</v>
      </c>
      <c r="H49" s="94" t="s">
        <v>31</v>
      </c>
      <c r="I49" s="94" t="s">
        <v>32</v>
      </c>
      <c r="J49" s="94" t="s">
        <v>33</v>
      </c>
      <c r="K49" s="94" t="s">
        <v>34</v>
      </c>
      <c r="L49" s="94" t="s">
        <v>35</v>
      </c>
      <c r="M49" s="100" t="s">
        <v>384</v>
      </c>
      <c r="N49" s="100" t="s">
        <v>405</v>
      </c>
    </row>
    <row r="50" spans="1:14" x14ac:dyDescent="0.25">
      <c r="A50" s="105">
        <v>0.55000000000000004</v>
      </c>
      <c r="B50" s="95">
        <f>-(Acquisition!$B$23+(Acquisition!$B$10-(A50*Assumptions!$B$8)))</f>
        <v>-795100</v>
      </c>
      <c r="C50" s="95">
        <f>IF(1&lt;=Exit!$B$6,1*'Equity Returns'!C5+((A50*Assumptions!$B$8)/Acquisition!$B$10)*'Equity Returns'!C6+IF(AND(Assumptions!$B$67=1,1=(INT((Assumptions!$B$68-1)/12)+1)),(Refinance!$B$11+Refinance!$B$13+Refinance!$B$12*((A50*Assumptions!$B$8)/Acquisition!$B$10)),0)+IF(1=Exit!$B$6,(Exit!$B$9*(1-(Assumptions!$B$77+Assumptions!$B$78))+Exit!$B$12*((A50*Assumptions!$B$8)/Acquisition!$B$10)),0),0)</f>
        <v>34749.913333333323</v>
      </c>
      <c r="D50" s="95">
        <f>IF(2&lt;=Exit!$B$6,1*'Equity Returns'!D5+((A50*Assumptions!$B$8)/Acquisition!$B$10)*'Equity Returns'!D6+IF(AND(Assumptions!$B$67=1,2=(INT((Assumptions!$B$68-1)/12)+1)),(Refinance!$B$11+Refinance!$B$13+Refinance!$B$12*((A50*Assumptions!$B$8)/Acquisition!$B$10)),0)+IF(2=Exit!$B$6,(Exit!$B$9*(1-(Assumptions!$B$77+Assumptions!$B$78))+Exit!$B$12*((A50*Assumptions!$B$8)/Acquisition!$B$10)),0),0)</f>
        <v>72960.63763333339</v>
      </c>
      <c r="E50" s="95">
        <f>IF(3&lt;=Exit!$B$6,1*'Equity Returns'!E5+((A50*Assumptions!$B$8)/Acquisition!$B$10)*'Equity Returns'!E6+IF(AND(Assumptions!$B$67=1,3=(INT((Assumptions!$B$68-1)/12)+1)),(Refinance!$B$11+Refinance!$B$13+Refinance!$B$12*((A50*Assumptions!$B$8)/Acquisition!$B$10)),0)+IF(3=Exit!$B$6,(Exit!$B$9*(1-(Assumptions!$B$77+Assumptions!$B$78))+Exit!$B$12*((A50*Assumptions!$B$8)/Acquisition!$B$10)),0),0)</f>
        <v>880589.73920086562</v>
      </c>
      <c r="F50" s="95">
        <f>IF(4&lt;=Exit!$B$6,1*'Equity Returns'!F5+((A50*Assumptions!$B$8)/Acquisition!$B$10)*'Equity Returns'!F6+IF(AND(Assumptions!$B$67=1,4=(INT((Assumptions!$B$68-1)/12)+1)),(Refinance!$B$11+Refinance!$B$13+Refinance!$B$12*((A50*Assumptions!$B$8)/Acquisition!$B$10)),0)+IF(4=Exit!$B$6,(Exit!$B$9*(1-(Assumptions!$B$77+Assumptions!$B$78))+Exit!$B$12*((A50*Assumptions!$B$8)/Acquisition!$B$10)),0),0)</f>
        <v>46868.326552570332</v>
      </c>
      <c r="G50" s="95">
        <f>IF(5&lt;=Exit!$B$6,1*'Equity Returns'!G5+((A50*Assumptions!$B$8)/Acquisition!$B$10)*'Equity Returns'!G6+IF(AND(Assumptions!$B$67=1,5=(INT((Assumptions!$B$68-1)/12)+1)),(Refinance!$B$11+Refinance!$B$13+Refinance!$B$12*((A50*Assumptions!$B$8)/Acquisition!$B$10)),0)+IF(5=Exit!$B$6,(Exit!$B$9*(1-(Assumptions!$B$77+Assumptions!$B$78))+Exit!$B$12*((A50*Assumptions!$B$8)/Acquisition!$B$10)),0),0)</f>
        <v>1073640.9215703444</v>
      </c>
      <c r="H50" s="95">
        <f>IF(6&lt;=Exit!$B$6,1*'Equity Returns'!H5+((A50*Assumptions!$B$8)/Acquisition!$B$10)*'Equity Returns'!H6+IF(AND(Assumptions!$B$67=1,6=(INT((Assumptions!$B$68-1)/12)+1)),(Refinance!$B$11+Refinance!$B$13+Refinance!$B$12*((A50*Assumptions!$B$8)/Acquisition!$B$10)),0)+IF(6=Exit!$B$6,(Exit!$B$9*(1-(Assumptions!$B$77+Assumptions!$B$78))+Exit!$B$12*((A50*Assumptions!$B$8)/Acquisition!$B$10)),0),0)</f>
        <v>0</v>
      </c>
      <c r="I50" s="95">
        <f>IF(7&lt;=Exit!$B$6,1*'Equity Returns'!I5+((A50*Assumptions!$B$8)/Acquisition!$B$10)*'Equity Returns'!I6+IF(AND(Assumptions!$B$67=1,7=(INT((Assumptions!$B$68-1)/12)+1)),(Refinance!$B$11+Refinance!$B$13+Refinance!$B$12*((A50*Assumptions!$B$8)/Acquisition!$B$10)),0)+IF(7=Exit!$B$6,(Exit!$B$9*(1-(Assumptions!$B$77+Assumptions!$B$78))+Exit!$B$12*((A50*Assumptions!$B$8)/Acquisition!$B$10)),0),0)</f>
        <v>0</v>
      </c>
      <c r="J50" s="95">
        <f>IF(8&lt;=Exit!$B$6,1*'Equity Returns'!J5+((A50*Assumptions!$B$8)/Acquisition!$B$10)*'Equity Returns'!J6+IF(AND(Assumptions!$B$67=1,8=(INT((Assumptions!$B$68-1)/12)+1)),(Refinance!$B$11+Refinance!$B$13+Refinance!$B$12*((A50*Assumptions!$B$8)/Acquisition!$B$10)),0)+IF(8=Exit!$B$6,(Exit!$B$9*(1-(Assumptions!$B$77+Assumptions!$B$78))+Exit!$B$12*((A50*Assumptions!$B$8)/Acquisition!$B$10)),0),0)</f>
        <v>0</v>
      </c>
      <c r="K50" s="95">
        <f>IF(9&lt;=Exit!$B$6,1*'Equity Returns'!K5+((A50*Assumptions!$B$8)/Acquisition!$B$10)*'Equity Returns'!K6+IF(AND(Assumptions!$B$67=1,9=(INT((Assumptions!$B$68-1)/12)+1)),(Refinance!$B$11+Refinance!$B$13+Refinance!$B$12*((A50*Assumptions!$B$8)/Acquisition!$B$10)),0)+IF(9=Exit!$B$6,(Exit!$B$9*(1-(Assumptions!$B$77+Assumptions!$B$78))+Exit!$B$12*((A50*Assumptions!$B$8)/Acquisition!$B$10)),0),0)</f>
        <v>0</v>
      </c>
      <c r="L50" s="95">
        <f>IF(10&lt;=Exit!$B$6,1*'Equity Returns'!L5+((A50*Assumptions!$B$8)/Acquisition!$B$10)*'Equity Returns'!L6+IF(AND(Assumptions!$B$67=1,10=(INT((Assumptions!$B$68-1)/12)+1)),(Refinance!$B$11+Refinance!$B$13+Refinance!$B$12*((A50*Assumptions!$B$8)/Acquisition!$B$10)),0)+IF(10=Exit!$B$6,(Exit!$B$9*(1-(Assumptions!$B$77+Assumptions!$B$78))+Exit!$B$12*((A50*Assumptions!$B$8)/Acquisition!$B$10)),0),0)</f>
        <v>0</v>
      </c>
      <c r="M50" s="102">
        <f t="shared" ref="M50:M55" si="6">IFERROR(IRR(B50:L50),0)</f>
        <v>0.29149112577100977</v>
      </c>
    </row>
    <row r="51" spans="1:14" x14ac:dyDescent="0.25">
      <c r="A51" s="105">
        <v>0.6</v>
      </c>
      <c r="B51" s="95">
        <f>-(Acquisition!$B$23+(Acquisition!$B$10-(A51*Assumptions!$B$8)))</f>
        <v>-730100</v>
      </c>
      <c r="C51" s="95">
        <f>IF(1&lt;=Exit!$B$6,1*'Equity Returns'!C5+((A51*Assumptions!$B$8)/Acquisition!$B$10)*'Equity Returns'!C6+IF(AND(Assumptions!$B$67=1,1=(INT((Assumptions!$B$68-1)/12)+1)),(Refinance!$B$11+Refinance!$B$13+Refinance!$B$12*((A51*Assumptions!$B$8)/Acquisition!$B$10)),0)+IF(1=Exit!$B$6,(Exit!$B$9*(1-(Assumptions!$B$77+Assumptions!$B$78))+Exit!$B$12*((A51*Assumptions!$B$8)/Acquisition!$B$10)),0),0)</f>
        <v>30524.913333333323</v>
      </c>
      <c r="D51" s="95">
        <f>IF(2&lt;=Exit!$B$6,1*'Equity Returns'!D5+((A51*Assumptions!$B$8)/Acquisition!$B$10)*'Equity Returns'!D6+IF(AND(Assumptions!$B$67=1,2=(INT((Assumptions!$B$68-1)/12)+1)),(Refinance!$B$11+Refinance!$B$13+Refinance!$B$12*((A51*Assumptions!$B$8)/Acquisition!$B$10)),0)+IF(2=Exit!$B$6,(Exit!$B$9*(1-(Assumptions!$B$77+Assumptions!$B$78))+Exit!$B$12*((A51*Assumptions!$B$8)/Acquisition!$B$10)),0),0)</f>
        <v>68735.63763333339</v>
      </c>
      <c r="E51" s="95">
        <f>IF(3&lt;=Exit!$B$6,1*'Equity Returns'!E5+((A51*Assumptions!$B$8)/Acquisition!$B$10)*'Equity Returns'!E6+IF(AND(Assumptions!$B$67=1,3=(INT((Assumptions!$B$68-1)/12)+1)),(Refinance!$B$11+Refinance!$B$13+Refinance!$B$12*((A51*Assumptions!$B$8)/Acquisition!$B$10)),0)+IF(3=Exit!$B$6,(Exit!$B$9*(1-(Assumptions!$B$77+Assumptions!$B$78))+Exit!$B$12*((A51*Assumptions!$B$8)/Acquisition!$B$10)),0),0)</f>
        <v>811078.51481383061</v>
      </c>
      <c r="F51" s="95">
        <f>IF(4&lt;=Exit!$B$6,1*'Equity Returns'!F5+((A51*Assumptions!$B$8)/Acquisition!$B$10)*'Equity Returns'!F6+IF(AND(Assumptions!$B$67=1,4=(INT((Assumptions!$B$68-1)/12)+1)),(Refinance!$B$11+Refinance!$B$13+Refinance!$B$12*((A51*Assumptions!$B$8)/Acquisition!$B$10)),0)+IF(4=Exit!$B$6,(Exit!$B$9*(1-(Assumptions!$B$77+Assumptions!$B$78))+Exit!$B$12*((A51*Assumptions!$B$8)/Acquisition!$B$10)),0),0)</f>
        <v>38995.112852174905</v>
      </c>
      <c r="G51" s="95">
        <f>IF(5&lt;=Exit!$B$6,1*'Equity Returns'!G5+((A51*Assumptions!$B$8)/Acquisition!$B$10)*'Equity Returns'!G6+IF(AND(Assumptions!$B$67=1,5=(INT((Assumptions!$B$68-1)/12)+1)),(Refinance!$B$11+Refinance!$B$13+Refinance!$B$12*((A51*Assumptions!$B$8)/Acquisition!$B$10)),0)+IF(5=Exit!$B$6,(Exit!$B$9*(1-(Assumptions!$B$77+Assumptions!$B$78))+Exit!$B$12*((A51*Assumptions!$B$8)/Acquisition!$B$10)),0),0)</f>
        <v>959228.89716057968</v>
      </c>
      <c r="H51" s="95">
        <f>IF(6&lt;=Exit!$B$6,1*'Equity Returns'!H5+((A51*Assumptions!$B$8)/Acquisition!$B$10)*'Equity Returns'!H6+IF(AND(Assumptions!$B$67=1,6=(INT((Assumptions!$B$68-1)/12)+1)),(Refinance!$B$11+Refinance!$B$13+Refinance!$B$12*((A51*Assumptions!$B$8)/Acquisition!$B$10)),0)+IF(6=Exit!$B$6,(Exit!$B$9*(1-(Assumptions!$B$77+Assumptions!$B$78))+Exit!$B$12*((A51*Assumptions!$B$8)/Acquisition!$B$10)),0),0)</f>
        <v>0</v>
      </c>
      <c r="I51" s="95">
        <f>IF(7&lt;=Exit!$B$6,1*'Equity Returns'!I5+((A51*Assumptions!$B$8)/Acquisition!$B$10)*'Equity Returns'!I6+IF(AND(Assumptions!$B$67=1,7=(INT((Assumptions!$B$68-1)/12)+1)),(Refinance!$B$11+Refinance!$B$13+Refinance!$B$12*((A51*Assumptions!$B$8)/Acquisition!$B$10)),0)+IF(7=Exit!$B$6,(Exit!$B$9*(1-(Assumptions!$B$77+Assumptions!$B$78))+Exit!$B$12*((A51*Assumptions!$B$8)/Acquisition!$B$10)),0),0)</f>
        <v>0</v>
      </c>
      <c r="J51" s="95">
        <f>IF(8&lt;=Exit!$B$6,1*'Equity Returns'!J5+((A51*Assumptions!$B$8)/Acquisition!$B$10)*'Equity Returns'!J6+IF(AND(Assumptions!$B$67=1,8=(INT((Assumptions!$B$68-1)/12)+1)),(Refinance!$B$11+Refinance!$B$13+Refinance!$B$12*((A51*Assumptions!$B$8)/Acquisition!$B$10)),0)+IF(8=Exit!$B$6,(Exit!$B$9*(1-(Assumptions!$B$77+Assumptions!$B$78))+Exit!$B$12*((A51*Assumptions!$B$8)/Acquisition!$B$10)),0),0)</f>
        <v>0</v>
      </c>
      <c r="K51" s="95">
        <f>IF(9&lt;=Exit!$B$6,1*'Equity Returns'!K5+((A51*Assumptions!$B$8)/Acquisition!$B$10)*'Equity Returns'!K6+IF(AND(Assumptions!$B$67=1,9=(INT((Assumptions!$B$68-1)/12)+1)),(Refinance!$B$11+Refinance!$B$13+Refinance!$B$12*((A51*Assumptions!$B$8)/Acquisition!$B$10)),0)+IF(9=Exit!$B$6,(Exit!$B$9*(1-(Assumptions!$B$77+Assumptions!$B$78))+Exit!$B$12*((A51*Assumptions!$B$8)/Acquisition!$B$10)),0),0)</f>
        <v>0</v>
      </c>
      <c r="L51" s="95">
        <f>IF(10&lt;=Exit!$B$6,1*'Equity Returns'!L5+((A51*Assumptions!$B$8)/Acquisition!$B$10)*'Equity Returns'!L6+IF(AND(Assumptions!$B$67=1,10=(INT((Assumptions!$B$68-1)/12)+1)),(Refinance!$B$11+Refinance!$B$13+Refinance!$B$12*((A51*Assumptions!$B$8)/Acquisition!$B$10)),0)+IF(10=Exit!$B$6,(Exit!$B$9*(1-(Assumptions!$B$77+Assumptions!$B$78))+Exit!$B$12*((A51*Assumptions!$B$8)/Acquisition!$B$10)),0),0)</f>
        <v>0</v>
      </c>
      <c r="M51" s="102">
        <f t="shared" si="6"/>
        <v>0.28771006405084698</v>
      </c>
    </row>
    <row r="52" spans="1:14" x14ac:dyDescent="0.25">
      <c r="A52" s="105">
        <v>0.65</v>
      </c>
      <c r="B52" s="95">
        <f>-(Acquisition!$B$23+(Acquisition!$B$10-(A52*Assumptions!$B$8)))</f>
        <v>-665100</v>
      </c>
      <c r="C52" s="95">
        <f>IF(1&lt;=Exit!$B$6,1*'Equity Returns'!C5+((A52*Assumptions!$B$8)/Acquisition!$B$10)*'Equity Returns'!C6+IF(AND(Assumptions!$B$67=1,1=(INT((Assumptions!$B$68-1)/12)+1)),(Refinance!$B$11+Refinance!$B$13+Refinance!$B$12*((A52*Assumptions!$B$8)/Acquisition!$B$10)),0)+IF(1=Exit!$B$6,(Exit!$B$9*(1-(Assumptions!$B$77+Assumptions!$B$78))+Exit!$B$12*((A52*Assumptions!$B$8)/Acquisition!$B$10)),0),0)</f>
        <v>26299.913333333323</v>
      </c>
      <c r="D52" s="95">
        <f>IF(2&lt;=Exit!$B$6,1*'Equity Returns'!D5+((A52*Assumptions!$B$8)/Acquisition!$B$10)*'Equity Returns'!D6+IF(AND(Assumptions!$B$67=1,2=(INT((Assumptions!$B$68-1)/12)+1)),(Refinance!$B$11+Refinance!$B$13+Refinance!$B$12*((A52*Assumptions!$B$8)/Acquisition!$B$10)),0)+IF(2=Exit!$B$6,(Exit!$B$9*(1-(Assumptions!$B$77+Assumptions!$B$78))+Exit!$B$12*((A52*Assumptions!$B$8)/Acquisition!$B$10)),0),0)</f>
        <v>64510.637633333397</v>
      </c>
      <c r="E52" s="95">
        <f>IF(3&lt;=Exit!$B$6,1*'Equity Returns'!E5+((A52*Assumptions!$B$8)/Acquisition!$B$10)*'Equity Returns'!E6+IF(AND(Assumptions!$B$67=1,3=(INT((Assumptions!$B$68-1)/12)+1)),(Refinance!$B$11+Refinance!$B$13+Refinance!$B$12*((A52*Assumptions!$B$8)/Acquisition!$B$10)),0)+IF(3=Exit!$B$6,(Exit!$B$9*(1-(Assumptions!$B$77+Assumptions!$B$78))+Exit!$B$12*((A52*Assumptions!$B$8)/Acquisition!$B$10)),0),0)</f>
        <v>741567.29042679549</v>
      </c>
      <c r="F52" s="95">
        <f>IF(4&lt;=Exit!$B$6,1*'Equity Returns'!F5+((A52*Assumptions!$B$8)/Acquisition!$B$10)*'Equity Returns'!F6+IF(AND(Assumptions!$B$67=1,4=(INT((Assumptions!$B$68-1)/12)+1)),(Refinance!$B$11+Refinance!$B$13+Refinance!$B$12*((A52*Assumptions!$B$8)/Acquisition!$B$10)),0)+IF(4=Exit!$B$6,(Exit!$B$9*(1-(Assumptions!$B$77+Assumptions!$B$78))+Exit!$B$12*((A52*Assumptions!$B$8)/Acquisition!$B$10)),0),0)</f>
        <v>31121.899151779464</v>
      </c>
      <c r="G52" s="95">
        <f>IF(5&lt;=Exit!$B$6,1*'Equity Returns'!G5+((A52*Assumptions!$B$8)/Acquisition!$B$10)*'Equity Returns'!G6+IF(AND(Assumptions!$B$67=1,5=(INT((Assumptions!$B$68-1)/12)+1)),(Refinance!$B$11+Refinance!$B$13+Refinance!$B$12*((A52*Assumptions!$B$8)/Acquisition!$B$10)),0)+IF(5=Exit!$B$6,(Exit!$B$9*(1-(Assumptions!$B$77+Assumptions!$B$78))+Exit!$B$12*((A52*Assumptions!$B$8)/Acquisition!$B$10)),0),0)</f>
        <v>844816.87275081512</v>
      </c>
      <c r="H52" s="95">
        <f>IF(6&lt;=Exit!$B$6,1*'Equity Returns'!H5+((A52*Assumptions!$B$8)/Acquisition!$B$10)*'Equity Returns'!H6+IF(AND(Assumptions!$B$67=1,6=(INT((Assumptions!$B$68-1)/12)+1)),(Refinance!$B$11+Refinance!$B$13+Refinance!$B$12*((A52*Assumptions!$B$8)/Acquisition!$B$10)),0)+IF(6=Exit!$B$6,(Exit!$B$9*(1-(Assumptions!$B$77+Assumptions!$B$78))+Exit!$B$12*((A52*Assumptions!$B$8)/Acquisition!$B$10)),0),0)</f>
        <v>0</v>
      </c>
      <c r="I52" s="95">
        <f>IF(7&lt;=Exit!$B$6,1*'Equity Returns'!I5+((A52*Assumptions!$B$8)/Acquisition!$B$10)*'Equity Returns'!I6+IF(AND(Assumptions!$B$67=1,7=(INT((Assumptions!$B$68-1)/12)+1)),(Refinance!$B$11+Refinance!$B$13+Refinance!$B$12*((A52*Assumptions!$B$8)/Acquisition!$B$10)),0)+IF(7=Exit!$B$6,(Exit!$B$9*(1-(Assumptions!$B$77+Assumptions!$B$78))+Exit!$B$12*((A52*Assumptions!$B$8)/Acquisition!$B$10)),0),0)</f>
        <v>0</v>
      </c>
      <c r="J52" s="95">
        <f>IF(8&lt;=Exit!$B$6,1*'Equity Returns'!J5+((A52*Assumptions!$B$8)/Acquisition!$B$10)*'Equity Returns'!J6+IF(AND(Assumptions!$B$67=1,8=(INT((Assumptions!$B$68-1)/12)+1)),(Refinance!$B$11+Refinance!$B$13+Refinance!$B$12*((A52*Assumptions!$B$8)/Acquisition!$B$10)),0)+IF(8=Exit!$B$6,(Exit!$B$9*(1-(Assumptions!$B$77+Assumptions!$B$78))+Exit!$B$12*((A52*Assumptions!$B$8)/Acquisition!$B$10)),0),0)</f>
        <v>0</v>
      </c>
      <c r="K52" s="95">
        <f>IF(9&lt;=Exit!$B$6,1*'Equity Returns'!K5+((A52*Assumptions!$B$8)/Acquisition!$B$10)*'Equity Returns'!K6+IF(AND(Assumptions!$B$67=1,9=(INT((Assumptions!$B$68-1)/12)+1)),(Refinance!$B$11+Refinance!$B$13+Refinance!$B$12*((A52*Assumptions!$B$8)/Acquisition!$B$10)),0)+IF(9=Exit!$B$6,(Exit!$B$9*(1-(Assumptions!$B$77+Assumptions!$B$78))+Exit!$B$12*((A52*Assumptions!$B$8)/Acquisition!$B$10)),0),0)</f>
        <v>0</v>
      </c>
      <c r="L52" s="95">
        <f>IF(10&lt;=Exit!$B$6,1*'Equity Returns'!L5+((A52*Assumptions!$B$8)/Acquisition!$B$10)*'Equity Returns'!L6+IF(AND(Assumptions!$B$67=1,10=(INT((Assumptions!$B$68-1)/12)+1)),(Refinance!$B$11+Refinance!$B$13+Refinance!$B$12*((A52*Assumptions!$B$8)/Acquisition!$B$10)),0)+IF(10=Exit!$B$6,(Exit!$B$9*(1-(Assumptions!$B$77+Assumptions!$B$78))+Exit!$B$12*((A52*Assumptions!$B$8)/Acquisition!$B$10)),0),0)</f>
        <v>0</v>
      </c>
      <c r="M52" s="102">
        <f t="shared" si="6"/>
        <v>0.28311688018132597</v>
      </c>
    </row>
    <row r="53" spans="1:14" x14ac:dyDescent="0.25">
      <c r="A53" s="105">
        <v>0.7</v>
      </c>
      <c r="B53" s="95">
        <f>-(Acquisition!$B$23+(Acquisition!$B$10-(A53*Assumptions!$B$8)))</f>
        <v>-600100</v>
      </c>
      <c r="C53" s="95">
        <f>IF(1&lt;=Exit!$B$6,1*'Equity Returns'!C5+((A53*Assumptions!$B$8)/Acquisition!$B$10)*'Equity Returns'!C6+IF(AND(Assumptions!$B$67=1,1=(INT((Assumptions!$B$68-1)/12)+1)),(Refinance!$B$11+Refinance!$B$13+Refinance!$B$12*((A53*Assumptions!$B$8)/Acquisition!$B$10)),0)+IF(1=Exit!$B$6,(Exit!$B$9*(1-(Assumptions!$B$77+Assumptions!$B$78))+Exit!$B$12*((A53*Assumptions!$B$8)/Acquisition!$B$10)),0),0)</f>
        <v>22074.913333333323</v>
      </c>
      <c r="D53" s="95">
        <f>IF(2&lt;=Exit!$B$6,1*'Equity Returns'!D5+((A53*Assumptions!$B$8)/Acquisition!$B$10)*'Equity Returns'!D6+IF(AND(Assumptions!$B$67=1,2=(INT((Assumptions!$B$68-1)/12)+1)),(Refinance!$B$11+Refinance!$B$13+Refinance!$B$12*((A53*Assumptions!$B$8)/Acquisition!$B$10)),0)+IF(2=Exit!$B$6,(Exit!$B$9*(1-(Assumptions!$B$77+Assumptions!$B$78))+Exit!$B$12*((A53*Assumptions!$B$8)/Acquisition!$B$10)),0),0)</f>
        <v>60285.637633333397</v>
      </c>
      <c r="E53" s="95">
        <f>IF(3&lt;=Exit!$B$6,1*'Equity Returns'!E5+((A53*Assumptions!$B$8)/Acquisition!$B$10)*'Equity Returns'!E6+IF(AND(Assumptions!$B$67=1,3=(INT((Assumptions!$B$68-1)/12)+1)),(Refinance!$B$11+Refinance!$B$13+Refinance!$B$12*((A53*Assumptions!$B$8)/Acquisition!$B$10)),0)+IF(3=Exit!$B$6,(Exit!$B$9*(1-(Assumptions!$B$77+Assumptions!$B$78))+Exit!$B$12*((A53*Assumptions!$B$8)/Acquisition!$B$10)),0),0)</f>
        <v>672056.06603976048</v>
      </c>
      <c r="F53" s="95">
        <f>IF(4&lt;=Exit!$B$6,1*'Equity Returns'!F5+((A53*Assumptions!$B$8)/Acquisition!$B$10)*'Equity Returns'!F6+IF(AND(Assumptions!$B$67=1,4=(INT((Assumptions!$B$68-1)/12)+1)),(Refinance!$B$11+Refinance!$B$13+Refinance!$B$12*((A53*Assumptions!$B$8)/Acquisition!$B$10)),0)+IF(4=Exit!$B$6,(Exit!$B$9*(1-(Assumptions!$B$77+Assumptions!$B$78))+Exit!$B$12*((A53*Assumptions!$B$8)/Acquisition!$B$10)),0),0)</f>
        <v>23248.685451384037</v>
      </c>
      <c r="G53" s="95">
        <f>IF(5&lt;=Exit!$B$6,1*'Equity Returns'!G5+((A53*Assumptions!$B$8)/Acquisition!$B$10)*'Equity Returns'!G6+IF(AND(Assumptions!$B$67=1,5=(INT((Assumptions!$B$68-1)/12)+1)),(Refinance!$B$11+Refinance!$B$13+Refinance!$B$12*((A53*Assumptions!$B$8)/Acquisition!$B$10)),0)+IF(5=Exit!$B$6,(Exit!$B$9*(1-(Assumptions!$B$77+Assumptions!$B$78))+Exit!$B$12*((A53*Assumptions!$B$8)/Acquisition!$B$10)),0),0)</f>
        <v>730404.84834105056</v>
      </c>
      <c r="H53" s="95">
        <f>IF(6&lt;=Exit!$B$6,1*'Equity Returns'!H5+((A53*Assumptions!$B$8)/Acquisition!$B$10)*'Equity Returns'!H6+IF(AND(Assumptions!$B$67=1,6=(INT((Assumptions!$B$68-1)/12)+1)),(Refinance!$B$11+Refinance!$B$13+Refinance!$B$12*((A53*Assumptions!$B$8)/Acquisition!$B$10)),0)+IF(6=Exit!$B$6,(Exit!$B$9*(1-(Assumptions!$B$77+Assumptions!$B$78))+Exit!$B$12*((A53*Assumptions!$B$8)/Acquisition!$B$10)),0),0)</f>
        <v>0</v>
      </c>
      <c r="I53" s="95">
        <f>IF(7&lt;=Exit!$B$6,1*'Equity Returns'!I5+((A53*Assumptions!$B$8)/Acquisition!$B$10)*'Equity Returns'!I6+IF(AND(Assumptions!$B$67=1,7=(INT((Assumptions!$B$68-1)/12)+1)),(Refinance!$B$11+Refinance!$B$13+Refinance!$B$12*((A53*Assumptions!$B$8)/Acquisition!$B$10)),0)+IF(7=Exit!$B$6,(Exit!$B$9*(1-(Assumptions!$B$77+Assumptions!$B$78))+Exit!$B$12*((A53*Assumptions!$B$8)/Acquisition!$B$10)),0),0)</f>
        <v>0</v>
      </c>
      <c r="J53" s="95">
        <f>IF(8&lt;=Exit!$B$6,1*'Equity Returns'!J5+((A53*Assumptions!$B$8)/Acquisition!$B$10)*'Equity Returns'!J6+IF(AND(Assumptions!$B$67=1,8=(INT((Assumptions!$B$68-1)/12)+1)),(Refinance!$B$11+Refinance!$B$13+Refinance!$B$12*((A53*Assumptions!$B$8)/Acquisition!$B$10)),0)+IF(8=Exit!$B$6,(Exit!$B$9*(1-(Assumptions!$B$77+Assumptions!$B$78))+Exit!$B$12*((A53*Assumptions!$B$8)/Acquisition!$B$10)),0),0)</f>
        <v>0</v>
      </c>
      <c r="K53" s="95">
        <f>IF(9&lt;=Exit!$B$6,1*'Equity Returns'!K5+((A53*Assumptions!$B$8)/Acquisition!$B$10)*'Equity Returns'!K6+IF(AND(Assumptions!$B$67=1,9=(INT((Assumptions!$B$68-1)/12)+1)),(Refinance!$B$11+Refinance!$B$13+Refinance!$B$12*((A53*Assumptions!$B$8)/Acquisition!$B$10)),0)+IF(9=Exit!$B$6,(Exit!$B$9*(1-(Assumptions!$B$77+Assumptions!$B$78))+Exit!$B$12*((A53*Assumptions!$B$8)/Acquisition!$B$10)),0),0)</f>
        <v>0</v>
      </c>
      <c r="L53" s="95">
        <f>IF(10&lt;=Exit!$B$6,1*'Equity Returns'!L5+((A53*Assumptions!$B$8)/Acquisition!$B$10)*'Equity Returns'!L6+IF(AND(Assumptions!$B$67=1,10=(INT((Assumptions!$B$68-1)/12)+1)),(Refinance!$B$11+Refinance!$B$13+Refinance!$B$12*((A53*Assumptions!$B$8)/Acquisition!$B$10)),0)+IF(10=Exit!$B$6,(Exit!$B$9*(1-(Assumptions!$B$77+Assumptions!$B$78))+Exit!$B$12*((A53*Assumptions!$B$8)/Acquisition!$B$10)),0),0)</f>
        <v>0</v>
      </c>
      <c r="M53" s="102">
        <f t="shared" si="6"/>
        <v>0.27741656061743125</v>
      </c>
    </row>
    <row r="54" spans="1:14" x14ac:dyDescent="0.25">
      <c r="A54" s="105">
        <v>0.75</v>
      </c>
      <c r="B54" s="95">
        <f>-(Acquisition!$B$23+(Acquisition!$B$10-(A54*Assumptions!$B$8)))</f>
        <v>-535100</v>
      </c>
      <c r="C54" s="95">
        <f>IF(1&lt;=Exit!$B$6,1*'Equity Returns'!C5+((A54*Assumptions!$B$8)/Acquisition!$B$10)*'Equity Returns'!C6+IF(AND(Assumptions!$B$67=1,1=(INT((Assumptions!$B$68-1)/12)+1)),(Refinance!$B$11+Refinance!$B$13+Refinance!$B$12*((A54*Assumptions!$B$8)/Acquisition!$B$10)),0)+IF(1=Exit!$B$6,(Exit!$B$9*(1-(Assumptions!$B$77+Assumptions!$B$78))+Exit!$B$12*((A54*Assumptions!$B$8)/Acquisition!$B$10)),0),0)</f>
        <v>17849.913333333323</v>
      </c>
      <c r="D54" s="95">
        <f>IF(2&lt;=Exit!$B$6,1*'Equity Returns'!D5+((A54*Assumptions!$B$8)/Acquisition!$B$10)*'Equity Returns'!D6+IF(AND(Assumptions!$B$67=1,2=(INT((Assumptions!$B$68-1)/12)+1)),(Refinance!$B$11+Refinance!$B$13+Refinance!$B$12*((A54*Assumptions!$B$8)/Acquisition!$B$10)),0)+IF(2=Exit!$B$6,(Exit!$B$9*(1-(Assumptions!$B$77+Assumptions!$B$78))+Exit!$B$12*((A54*Assumptions!$B$8)/Acquisition!$B$10)),0),0)</f>
        <v>56060.637633333397</v>
      </c>
      <c r="E54" s="95">
        <f>IF(3&lt;=Exit!$B$6,1*'Equity Returns'!E5+((A54*Assumptions!$B$8)/Acquisition!$B$10)*'Equity Returns'!E6+IF(AND(Assumptions!$B$67=1,3=(INT((Assumptions!$B$68-1)/12)+1)),(Refinance!$B$11+Refinance!$B$13+Refinance!$B$12*((A54*Assumptions!$B$8)/Acquisition!$B$10)),0)+IF(3=Exit!$B$6,(Exit!$B$9*(1-(Assumptions!$B$77+Assumptions!$B$78))+Exit!$B$12*((A54*Assumptions!$B$8)/Acquisition!$B$10)),0),0)</f>
        <v>602544.84165272547</v>
      </c>
      <c r="F54" s="95">
        <f>IF(4&lt;=Exit!$B$6,1*'Equity Returns'!F5+((A54*Assumptions!$B$8)/Acquisition!$B$10)*'Equity Returns'!F6+IF(AND(Assumptions!$B$67=1,4=(INT((Assumptions!$B$68-1)/12)+1)),(Refinance!$B$11+Refinance!$B$13+Refinance!$B$12*((A54*Assumptions!$B$8)/Acquisition!$B$10)),0)+IF(4=Exit!$B$6,(Exit!$B$9*(1-(Assumptions!$B$77+Assumptions!$B$78))+Exit!$B$12*((A54*Assumptions!$B$8)/Acquisition!$B$10)),0),0)</f>
        <v>15375.47175098861</v>
      </c>
      <c r="G54" s="95">
        <f>IF(5&lt;=Exit!$B$6,1*'Equity Returns'!G5+((A54*Assumptions!$B$8)/Acquisition!$B$10)*'Equity Returns'!G6+IF(AND(Assumptions!$B$67=1,5=(INT((Assumptions!$B$68-1)/12)+1)),(Refinance!$B$11+Refinance!$B$13+Refinance!$B$12*((A54*Assumptions!$B$8)/Acquisition!$B$10)),0)+IF(5=Exit!$B$6,(Exit!$B$9*(1-(Assumptions!$B$77+Assumptions!$B$78))+Exit!$B$12*((A54*Assumptions!$B$8)/Acquisition!$B$10)),0),0)</f>
        <v>615992.823931286</v>
      </c>
      <c r="H54" s="95">
        <f>IF(6&lt;=Exit!$B$6,1*'Equity Returns'!H5+((A54*Assumptions!$B$8)/Acquisition!$B$10)*'Equity Returns'!H6+IF(AND(Assumptions!$B$67=1,6=(INT((Assumptions!$B$68-1)/12)+1)),(Refinance!$B$11+Refinance!$B$13+Refinance!$B$12*((A54*Assumptions!$B$8)/Acquisition!$B$10)),0)+IF(6=Exit!$B$6,(Exit!$B$9*(1-(Assumptions!$B$77+Assumptions!$B$78))+Exit!$B$12*((A54*Assumptions!$B$8)/Acquisition!$B$10)),0),0)</f>
        <v>0</v>
      </c>
      <c r="I54" s="95">
        <f>IF(7&lt;=Exit!$B$6,1*'Equity Returns'!I5+((A54*Assumptions!$B$8)/Acquisition!$B$10)*'Equity Returns'!I6+IF(AND(Assumptions!$B$67=1,7=(INT((Assumptions!$B$68-1)/12)+1)),(Refinance!$B$11+Refinance!$B$13+Refinance!$B$12*((A54*Assumptions!$B$8)/Acquisition!$B$10)),0)+IF(7=Exit!$B$6,(Exit!$B$9*(1-(Assumptions!$B$77+Assumptions!$B$78))+Exit!$B$12*((A54*Assumptions!$B$8)/Acquisition!$B$10)),0),0)</f>
        <v>0</v>
      </c>
      <c r="J54" s="95">
        <f>IF(8&lt;=Exit!$B$6,1*'Equity Returns'!J5+((A54*Assumptions!$B$8)/Acquisition!$B$10)*'Equity Returns'!J6+IF(AND(Assumptions!$B$67=1,8=(INT((Assumptions!$B$68-1)/12)+1)),(Refinance!$B$11+Refinance!$B$13+Refinance!$B$12*((A54*Assumptions!$B$8)/Acquisition!$B$10)),0)+IF(8=Exit!$B$6,(Exit!$B$9*(1-(Assumptions!$B$77+Assumptions!$B$78))+Exit!$B$12*((A54*Assumptions!$B$8)/Acquisition!$B$10)),0),0)</f>
        <v>0</v>
      </c>
      <c r="K54" s="95">
        <f>IF(9&lt;=Exit!$B$6,1*'Equity Returns'!K5+((A54*Assumptions!$B$8)/Acquisition!$B$10)*'Equity Returns'!K6+IF(AND(Assumptions!$B$67=1,9=(INT((Assumptions!$B$68-1)/12)+1)),(Refinance!$B$11+Refinance!$B$13+Refinance!$B$12*((A54*Assumptions!$B$8)/Acquisition!$B$10)),0)+IF(9=Exit!$B$6,(Exit!$B$9*(1-(Assumptions!$B$77+Assumptions!$B$78))+Exit!$B$12*((A54*Assumptions!$B$8)/Acquisition!$B$10)),0),0)</f>
        <v>0</v>
      </c>
      <c r="L54" s="95">
        <f>IF(10&lt;=Exit!$B$6,1*'Equity Returns'!L5+((A54*Assumptions!$B$8)/Acquisition!$B$10)*'Equity Returns'!L6+IF(AND(Assumptions!$B$67=1,10=(INT((Assumptions!$B$68-1)/12)+1)),(Refinance!$B$11+Refinance!$B$13+Refinance!$B$12*((A54*Assumptions!$B$8)/Acquisition!$B$10)),0)+IF(10=Exit!$B$6,(Exit!$B$9*(1-(Assumptions!$B$77+Assumptions!$B$78))+Exit!$B$12*((A54*Assumptions!$B$8)/Acquisition!$B$10)),0),0)</f>
        <v>0</v>
      </c>
      <c r="M54" s="102">
        <f t="shared" si="6"/>
        <v>0.27015012089212287</v>
      </c>
    </row>
    <row r="55" spans="1:14" x14ac:dyDescent="0.25">
      <c r="A55" s="105">
        <v>0.8</v>
      </c>
      <c r="B55" s="95">
        <f>-(Acquisition!$B$23+(Acquisition!$B$10-(A55*Assumptions!$B$8)))</f>
        <v>-470100</v>
      </c>
      <c r="C55" s="95">
        <f>IF(1&lt;=Exit!$B$6,1*'Equity Returns'!C5+((A55*Assumptions!$B$8)/Acquisition!$B$10)*'Equity Returns'!C6+IF(AND(Assumptions!$B$67=1,1=(INT((Assumptions!$B$68-1)/12)+1)),(Refinance!$B$11+Refinance!$B$13+Refinance!$B$12*((A55*Assumptions!$B$8)/Acquisition!$B$10)),0)+IF(1=Exit!$B$6,(Exit!$B$9*(1-(Assumptions!$B$77+Assumptions!$B$78))+Exit!$B$12*((A55*Assumptions!$B$8)/Acquisition!$B$10)),0),0)</f>
        <v>13624.91333333333</v>
      </c>
      <c r="D55" s="95">
        <f>IF(2&lt;=Exit!$B$6,1*'Equity Returns'!D5+((A55*Assumptions!$B$8)/Acquisition!$B$10)*'Equity Returns'!D6+IF(AND(Assumptions!$B$67=1,2=(INT((Assumptions!$B$68-1)/12)+1)),(Refinance!$B$11+Refinance!$B$13+Refinance!$B$12*((A55*Assumptions!$B$8)/Acquisition!$B$10)),0)+IF(2=Exit!$B$6,(Exit!$B$9*(1-(Assumptions!$B$77+Assumptions!$B$78))+Exit!$B$12*((A55*Assumptions!$B$8)/Acquisition!$B$10)),0),0)</f>
        <v>51835.637633333405</v>
      </c>
      <c r="E55" s="95">
        <f>IF(3&lt;=Exit!$B$6,1*'Equity Returns'!E5+((A55*Assumptions!$B$8)/Acquisition!$B$10)*'Equity Returns'!E6+IF(AND(Assumptions!$B$67=1,3=(INT((Assumptions!$B$68-1)/12)+1)),(Refinance!$B$11+Refinance!$B$13+Refinance!$B$12*((A55*Assumptions!$B$8)/Acquisition!$B$10)),0)+IF(3=Exit!$B$6,(Exit!$B$9*(1-(Assumptions!$B$77+Assumptions!$B$78))+Exit!$B$12*((A55*Assumptions!$B$8)/Acquisition!$B$10)),0),0)</f>
        <v>533033.61726569047</v>
      </c>
      <c r="F55" s="95">
        <f>IF(4&lt;=Exit!$B$6,1*'Equity Returns'!F5+((A55*Assumptions!$B$8)/Acquisition!$B$10)*'Equity Returns'!F6+IF(AND(Assumptions!$B$67=1,4=(INT((Assumptions!$B$68-1)/12)+1)),(Refinance!$B$11+Refinance!$B$13+Refinance!$B$12*((A55*Assumptions!$B$8)/Acquisition!$B$10)),0)+IF(4=Exit!$B$6,(Exit!$B$9*(1-(Assumptions!$B$77+Assumptions!$B$78))+Exit!$B$12*((A55*Assumptions!$B$8)/Acquisition!$B$10)),0),0)</f>
        <v>7502.2580505931837</v>
      </c>
      <c r="G55" s="95">
        <f>IF(5&lt;=Exit!$B$6,1*'Equity Returns'!G5+((A55*Assumptions!$B$8)/Acquisition!$B$10)*'Equity Returns'!G6+IF(AND(Assumptions!$B$67=1,5=(INT((Assumptions!$B$68-1)/12)+1)),(Refinance!$B$11+Refinance!$B$13+Refinance!$B$12*((A55*Assumptions!$B$8)/Acquisition!$B$10)),0)+IF(5=Exit!$B$6,(Exit!$B$9*(1-(Assumptions!$B$77+Assumptions!$B$78))+Exit!$B$12*((A55*Assumptions!$B$8)/Acquisition!$B$10)),0),0)</f>
        <v>501580.79952152143</v>
      </c>
      <c r="H55" s="95">
        <f>IF(6&lt;=Exit!$B$6,1*'Equity Returns'!H5+((A55*Assumptions!$B$8)/Acquisition!$B$10)*'Equity Returns'!H6+IF(AND(Assumptions!$B$67=1,6=(INT((Assumptions!$B$68-1)/12)+1)),(Refinance!$B$11+Refinance!$B$13+Refinance!$B$12*((A55*Assumptions!$B$8)/Acquisition!$B$10)),0)+IF(6=Exit!$B$6,(Exit!$B$9*(1-(Assumptions!$B$77+Assumptions!$B$78))+Exit!$B$12*((A55*Assumptions!$B$8)/Acquisition!$B$10)),0),0)</f>
        <v>0</v>
      </c>
      <c r="I55" s="95">
        <f>IF(7&lt;=Exit!$B$6,1*'Equity Returns'!I5+((A55*Assumptions!$B$8)/Acquisition!$B$10)*'Equity Returns'!I6+IF(AND(Assumptions!$B$67=1,7=(INT((Assumptions!$B$68-1)/12)+1)),(Refinance!$B$11+Refinance!$B$13+Refinance!$B$12*((A55*Assumptions!$B$8)/Acquisition!$B$10)),0)+IF(7=Exit!$B$6,(Exit!$B$9*(1-(Assumptions!$B$77+Assumptions!$B$78))+Exit!$B$12*((A55*Assumptions!$B$8)/Acquisition!$B$10)),0),0)</f>
        <v>0</v>
      </c>
      <c r="J55" s="95">
        <f>IF(8&lt;=Exit!$B$6,1*'Equity Returns'!J5+((A55*Assumptions!$B$8)/Acquisition!$B$10)*'Equity Returns'!J6+IF(AND(Assumptions!$B$67=1,8=(INT((Assumptions!$B$68-1)/12)+1)),(Refinance!$B$11+Refinance!$B$13+Refinance!$B$12*((A55*Assumptions!$B$8)/Acquisition!$B$10)),0)+IF(8=Exit!$B$6,(Exit!$B$9*(1-(Assumptions!$B$77+Assumptions!$B$78))+Exit!$B$12*((A55*Assumptions!$B$8)/Acquisition!$B$10)),0),0)</f>
        <v>0</v>
      </c>
      <c r="K55" s="95">
        <f>IF(9&lt;=Exit!$B$6,1*'Equity Returns'!K5+((A55*Assumptions!$B$8)/Acquisition!$B$10)*'Equity Returns'!K6+IF(AND(Assumptions!$B$67=1,9=(INT((Assumptions!$B$68-1)/12)+1)),(Refinance!$B$11+Refinance!$B$13+Refinance!$B$12*((A55*Assumptions!$B$8)/Acquisition!$B$10)),0)+IF(9=Exit!$B$6,(Exit!$B$9*(1-(Assumptions!$B$77+Assumptions!$B$78))+Exit!$B$12*((A55*Assumptions!$B$8)/Acquisition!$B$10)),0),0)</f>
        <v>0</v>
      </c>
      <c r="L55" s="95">
        <f>IF(10&lt;=Exit!$B$6,1*'Equity Returns'!L5+((A55*Assumptions!$B$8)/Acquisition!$B$10)*'Equity Returns'!L6+IF(AND(Assumptions!$B$67=1,10=(INT((Assumptions!$B$68-1)/12)+1)),(Refinance!$B$11+Refinance!$B$13+Refinance!$B$12*((A55*Assumptions!$B$8)/Acquisition!$B$10)),0)+IF(10=Exit!$B$6,(Exit!$B$9*(1-(Assumptions!$B$77+Assumptions!$B$78))+Exit!$B$12*((A55*Assumptions!$B$8)/Acquisition!$B$10)),0),0)</f>
        <v>0</v>
      </c>
      <c r="M55" s="102">
        <f t="shared" si="6"/>
        <v>0.26056072637641714</v>
      </c>
    </row>
    <row r="58" spans="1:14" x14ac:dyDescent="0.25">
      <c r="A58" s="143" t="s">
        <v>438</v>
      </c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</row>
    <row r="59" spans="1:14" x14ac:dyDescent="0.25">
      <c r="A59" s="19" t="s">
        <v>439</v>
      </c>
      <c r="B59" s="94" t="s">
        <v>404</v>
      </c>
      <c r="C59" s="94" t="s">
        <v>26</v>
      </c>
      <c r="D59" s="94" t="s">
        <v>27</v>
      </c>
      <c r="E59" s="94" t="s">
        <v>28</v>
      </c>
      <c r="F59" s="94" t="s">
        <v>29</v>
      </c>
      <c r="G59" s="94" t="s">
        <v>30</v>
      </c>
      <c r="H59" s="94" t="s">
        <v>31</v>
      </c>
      <c r="I59" s="94" t="s">
        <v>32</v>
      </c>
      <c r="J59" s="94" t="s">
        <v>33</v>
      </c>
      <c r="K59" s="94" t="s">
        <v>34</v>
      </c>
      <c r="L59" s="94" t="s">
        <v>35</v>
      </c>
      <c r="M59" s="100" t="s">
        <v>384</v>
      </c>
      <c r="N59" s="100" t="s">
        <v>405</v>
      </c>
    </row>
    <row r="60" spans="1:14" x14ac:dyDescent="0.25">
      <c r="A60" s="104">
        <f>Assumptions!$B$13+-0.015</f>
        <v>0.05</v>
      </c>
      <c r="B60" s="95">
        <f>-Acquisition!$B$23</f>
        <v>-600100</v>
      </c>
      <c r="C60" s="95">
        <f>IF(1&lt;=Exit!$B$6,1*'Equity Returns'!C5+(A60/Assumptions!$B$13)*'Equity Returns'!C6+IF(AND(Assumptions!$B$67=1,1=(INT((Assumptions!$B$68-1)/12)+1)),Refinance!$B$14,0)+IF(1=Exit!$B$6,(Exit!$B$9*(1-(Assumptions!$B$77+Assumptions!$B$78))+Exit!$B$12),0),0)</f>
        <v>35724.913333333316</v>
      </c>
      <c r="D60" s="95">
        <f>IF(2&lt;=Exit!$B$6,1*'Equity Returns'!D5+(A60/Assumptions!$B$13)*'Equity Returns'!D6+IF(AND(Assumptions!$B$67=1,2=(INT((Assumptions!$B$68-1)/12)+1)),Refinance!$B$14,0)+IF(2=Exit!$B$6,(Exit!$B$9*(1-(Assumptions!$B$77+Assumptions!$B$78))+Exit!$B$12),0),0)</f>
        <v>73935.63763333339</v>
      </c>
      <c r="E60" s="95">
        <f>IF(3&lt;=Exit!$B$6,1*'Equity Returns'!E5+(A60/Assumptions!$B$13)*'Equity Returns'!E6+IF(AND(Assumptions!$B$67=1,3=(INT((Assumptions!$B$68-1)/12)+1)),Refinance!$B$14,0)+IF(3=Exit!$B$6,(Exit!$B$9*(1-(Assumptions!$B$77+Assumptions!$B$78))+Exit!$B$12),0),0)</f>
        <v>688776.54876332381</v>
      </c>
      <c r="F60" s="95">
        <f>IF(4&lt;=Exit!$B$6,1*'Equity Returns'!F5+(A60/Assumptions!$B$13)*'Equity Returns'!F6+IF(AND(Assumptions!$B$67=1,4=(INT((Assumptions!$B$68-1)/12)+1)),Refinance!$B$14,0)+IF(4=Exit!$B$6,(Exit!$B$9*(1-(Assumptions!$B$77+Assumptions!$B$78))+Exit!$B$12),0),0)</f>
        <v>48685.222021892347</v>
      </c>
      <c r="G60" s="95">
        <f>IF(5&lt;=Exit!$B$6,1*'Equity Returns'!G5+(A60/Assumptions!$B$13)*'Equity Returns'!G6+IF(AND(Assumptions!$B$67=1,5=(INT((Assumptions!$B$68-1)/12)+1)),Refinance!$B$14,0)+IF(5=Exit!$B$6,(Exit!$B$9*(1-(Assumptions!$B$77+Assumptions!$B$78))+Exit!$B$12),0),0)</f>
        <v>755841.38491155882</v>
      </c>
      <c r="H60" s="95">
        <f>IF(6&lt;=Exit!$B$6,1*'Equity Returns'!H5+(A60/Assumptions!$B$13)*'Equity Returns'!H6+IF(AND(Assumptions!$B$67=1,6=(INT((Assumptions!$B$68-1)/12)+1)),Refinance!$B$14,0)+IF(6=Exit!$B$6,(Exit!$B$9*(1-(Assumptions!$B$77+Assumptions!$B$78))+Exit!$B$12),0),0)</f>
        <v>0</v>
      </c>
      <c r="I60" s="95">
        <f>IF(7&lt;=Exit!$B$6,1*'Equity Returns'!I5+(A60/Assumptions!$B$13)*'Equity Returns'!I6+IF(AND(Assumptions!$B$67=1,7=(INT((Assumptions!$B$68-1)/12)+1)),Refinance!$B$14,0)+IF(7=Exit!$B$6,(Exit!$B$9*(1-(Assumptions!$B$77+Assumptions!$B$78))+Exit!$B$12),0),0)</f>
        <v>0</v>
      </c>
      <c r="J60" s="95">
        <f>IF(8&lt;=Exit!$B$6,1*'Equity Returns'!J5+(A60/Assumptions!$B$13)*'Equity Returns'!J6+IF(AND(Assumptions!$B$67=1,8=(INT((Assumptions!$B$68-1)/12)+1)),Refinance!$B$14,0)+IF(8=Exit!$B$6,(Exit!$B$9*(1-(Assumptions!$B$77+Assumptions!$B$78))+Exit!$B$12),0),0)</f>
        <v>0</v>
      </c>
      <c r="K60" s="95">
        <f>IF(9&lt;=Exit!$B$6,1*'Equity Returns'!K5+(A60/Assumptions!$B$13)*'Equity Returns'!K6+IF(AND(Assumptions!$B$67=1,9=(INT((Assumptions!$B$68-1)/12)+1)),Refinance!$B$14,0)+IF(9=Exit!$B$6,(Exit!$B$9*(1-(Assumptions!$B$77+Assumptions!$B$78))+Exit!$B$12),0),0)</f>
        <v>0</v>
      </c>
      <c r="L60" s="95">
        <f>IF(10&lt;=Exit!$B$6,1*'Equity Returns'!L5+(A60/Assumptions!$B$13)*'Equity Returns'!L6+IF(AND(Assumptions!$B$67=1,10=(INT((Assumptions!$B$68-1)/12)+1)),Refinance!$B$14,0)+IF(10=Exit!$B$6,(Exit!$B$9*(1-(Assumptions!$B$77+Assumptions!$B$78))+Exit!$B$12),0),0)</f>
        <v>0</v>
      </c>
      <c r="M60" s="102">
        <f t="shared" ref="M60:M66" si="7">IFERROR(IRR(B60:L60),0)</f>
        <v>0.30320843642905015</v>
      </c>
    </row>
    <row r="61" spans="1:14" x14ac:dyDescent="0.25">
      <c r="A61" s="104">
        <f>Assumptions!$B$13+-0.01</f>
        <v>5.5E-2</v>
      </c>
      <c r="B61" s="95">
        <f>-Acquisition!$B$23</f>
        <v>-600100</v>
      </c>
      <c r="C61" s="95">
        <f>IF(1&lt;=Exit!$B$6,1*'Equity Returns'!C5+(A61/Assumptions!$B$13)*'Equity Returns'!C6+IF(AND(Assumptions!$B$67=1,1=(INT((Assumptions!$B$68-1)/12)+1)),Refinance!$B$14,0)+IF(1=Exit!$B$6,(Exit!$B$9*(1-(Assumptions!$B$77+Assumptions!$B$78))+Exit!$B$12),0),0)</f>
        <v>31174.913333333323</v>
      </c>
      <c r="D61" s="95">
        <f>IF(2&lt;=Exit!$B$6,1*'Equity Returns'!D5+(A61/Assumptions!$B$13)*'Equity Returns'!D6+IF(AND(Assumptions!$B$67=1,2=(INT((Assumptions!$B$68-1)/12)+1)),Refinance!$B$14,0)+IF(2=Exit!$B$6,(Exit!$B$9*(1-(Assumptions!$B$77+Assumptions!$B$78))+Exit!$B$12),0),0)</f>
        <v>69385.63763333339</v>
      </c>
      <c r="E61" s="95">
        <f>IF(3&lt;=Exit!$B$6,1*'Equity Returns'!E5+(A61/Assumptions!$B$13)*'Equity Returns'!E6+IF(AND(Assumptions!$B$67=1,3=(INT((Assumptions!$B$68-1)/12)+1)),Refinance!$B$14,0)+IF(3=Exit!$B$6,(Exit!$B$9*(1-(Assumptions!$B$77+Assumptions!$B$78))+Exit!$B$12),0),0)</f>
        <v>683203.05452213599</v>
      </c>
      <c r="F61" s="95">
        <f>IF(4&lt;=Exit!$B$6,1*'Equity Returns'!F5+(A61/Assumptions!$B$13)*'Equity Returns'!F6+IF(AND(Assumptions!$B$67=1,4=(INT((Assumptions!$B$68-1)/12)+1)),Refinance!$B$14,0)+IF(4=Exit!$B$6,(Exit!$B$9*(1-(Assumptions!$B$77+Assumptions!$B$78))+Exit!$B$12),0),0)</f>
        <v>40206.376498389582</v>
      </c>
      <c r="G61" s="95">
        <f>IF(5&lt;=Exit!$B$6,1*'Equity Returns'!G5+(A61/Assumptions!$B$13)*'Equity Returns'!G6+IF(AND(Assumptions!$B$67=1,5=(INT((Assumptions!$B$68-1)/12)+1)),Refinance!$B$14,0)+IF(5=Exit!$B$6,(Exit!$B$9*(1-(Assumptions!$B$77+Assumptions!$B$78))+Exit!$B$12),0),0)</f>
        <v>747362.53938805615</v>
      </c>
      <c r="H61" s="95">
        <f>IF(6&lt;=Exit!$B$6,1*'Equity Returns'!H5+(A61/Assumptions!$B$13)*'Equity Returns'!H6+IF(AND(Assumptions!$B$67=1,6=(INT((Assumptions!$B$68-1)/12)+1)),Refinance!$B$14,0)+IF(6=Exit!$B$6,(Exit!$B$9*(1-(Assumptions!$B$77+Assumptions!$B$78))+Exit!$B$12),0),0)</f>
        <v>0</v>
      </c>
      <c r="I61" s="95">
        <f>IF(7&lt;=Exit!$B$6,1*'Equity Returns'!I5+(A61/Assumptions!$B$13)*'Equity Returns'!I6+IF(AND(Assumptions!$B$67=1,7=(INT((Assumptions!$B$68-1)/12)+1)),Refinance!$B$14,0)+IF(7=Exit!$B$6,(Exit!$B$9*(1-(Assumptions!$B$77+Assumptions!$B$78))+Exit!$B$12),0),0)</f>
        <v>0</v>
      </c>
      <c r="J61" s="95">
        <f>IF(8&lt;=Exit!$B$6,1*'Equity Returns'!J5+(A61/Assumptions!$B$13)*'Equity Returns'!J6+IF(AND(Assumptions!$B$67=1,8=(INT((Assumptions!$B$68-1)/12)+1)),Refinance!$B$14,0)+IF(8=Exit!$B$6,(Exit!$B$9*(1-(Assumptions!$B$77+Assumptions!$B$78))+Exit!$B$12),0),0)</f>
        <v>0</v>
      </c>
      <c r="K61" s="95">
        <f>IF(9&lt;=Exit!$B$6,1*'Equity Returns'!K5+(A61/Assumptions!$B$13)*'Equity Returns'!K6+IF(AND(Assumptions!$B$67=1,9=(INT((Assumptions!$B$68-1)/12)+1)),Refinance!$B$14,0)+IF(9=Exit!$B$6,(Exit!$B$9*(1-(Assumptions!$B$77+Assumptions!$B$78))+Exit!$B$12),0),0)</f>
        <v>0</v>
      </c>
      <c r="L61" s="95">
        <f>IF(10&lt;=Exit!$B$6,1*'Equity Returns'!L5+(A61/Assumptions!$B$13)*'Equity Returns'!L6+IF(AND(Assumptions!$B$67=1,10=(INT((Assumptions!$B$68-1)/12)+1)),Refinance!$B$14,0)+IF(10=Exit!$B$6,(Exit!$B$9*(1-(Assumptions!$B$77+Assumptions!$B$78))+Exit!$B$12),0),0)</f>
        <v>0</v>
      </c>
      <c r="M61" s="102">
        <f t="shared" si="7"/>
        <v>0.29465598813649918</v>
      </c>
    </row>
    <row r="62" spans="1:14" x14ac:dyDescent="0.25">
      <c r="A62" s="104">
        <f>Assumptions!$B$13+-0.005</f>
        <v>6.0000000000000005E-2</v>
      </c>
      <c r="B62" s="95">
        <f>-Acquisition!$B$23</f>
        <v>-600100</v>
      </c>
      <c r="C62" s="95">
        <f>IF(1&lt;=Exit!$B$6,1*'Equity Returns'!C5+(A62/Assumptions!$B$13)*'Equity Returns'!C6+IF(AND(Assumptions!$B$67=1,1=(INT((Assumptions!$B$68-1)/12)+1)),Refinance!$B$14,0)+IF(1=Exit!$B$6,(Exit!$B$9*(1-(Assumptions!$B$77+Assumptions!$B$78))+Exit!$B$12),0),0)</f>
        <v>26624.913333333323</v>
      </c>
      <c r="D62" s="95">
        <f>IF(2&lt;=Exit!$B$6,1*'Equity Returns'!D5+(A62/Assumptions!$B$13)*'Equity Returns'!D6+IF(AND(Assumptions!$B$67=1,2=(INT((Assumptions!$B$68-1)/12)+1)),Refinance!$B$14,0)+IF(2=Exit!$B$6,(Exit!$B$9*(1-(Assumptions!$B$77+Assumptions!$B$78))+Exit!$B$12),0),0)</f>
        <v>64835.637633333397</v>
      </c>
      <c r="E62" s="95">
        <f>IF(3&lt;=Exit!$B$6,1*'Equity Returns'!E5+(A62/Assumptions!$B$13)*'Equity Returns'!E6+IF(AND(Assumptions!$B$67=1,3=(INT((Assumptions!$B$68-1)/12)+1)),Refinance!$B$14,0)+IF(3=Exit!$B$6,(Exit!$B$9*(1-(Assumptions!$B$77+Assumptions!$B$78))+Exit!$B$12),0),0)</f>
        <v>677629.5602809483</v>
      </c>
      <c r="F62" s="95">
        <f>IF(4&lt;=Exit!$B$6,1*'Equity Returns'!F5+(A62/Assumptions!$B$13)*'Equity Returns'!F6+IF(AND(Assumptions!$B$67=1,4=(INT((Assumptions!$B$68-1)/12)+1)),Refinance!$B$14,0)+IF(4=Exit!$B$6,(Exit!$B$9*(1-(Assumptions!$B$77+Assumptions!$B$78))+Exit!$B$12),0),0)</f>
        <v>31727.530974886802</v>
      </c>
      <c r="G62" s="95">
        <f>IF(5&lt;=Exit!$B$6,1*'Equity Returns'!G5+(A62/Assumptions!$B$13)*'Equity Returns'!G6+IF(AND(Assumptions!$B$67=1,5=(INT((Assumptions!$B$68-1)/12)+1)),Refinance!$B$14,0)+IF(5=Exit!$B$6,(Exit!$B$9*(1-(Assumptions!$B$77+Assumptions!$B$78))+Exit!$B$12),0),0)</f>
        <v>738883.69386455335</v>
      </c>
      <c r="H62" s="95">
        <f>IF(6&lt;=Exit!$B$6,1*'Equity Returns'!H5+(A62/Assumptions!$B$13)*'Equity Returns'!H6+IF(AND(Assumptions!$B$67=1,6=(INT((Assumptions!$B$68-1)/12)+1)),Refinance!$B$14,0)+IF(6=Exit!$B$6,(Exit!$B$9*(1-(Assumptions!$B$77+Assumptions!$B$78))+Exit!$B$12),0),0)</f>
        <v>0</v>
      </c>
      <c r="I62" s="95">
        <f>IF(7&lt;=Exit!$B$6,1*'Equity Returns'!I5+(A62/Assumptions!$B$13)*'Equity Returns'!I6+IF(AND(Assumptions!$B$67=1,7=(INT((Assumptions!$B$68-1)/12)+1)),Refinance!$B$14,0)+IF(7=Exit!$B$6,(Exit!$B$9*(1-(Assumptions!$B$77+Assumptions!$B$78))+Exit!$B$12),0),0)</f>
        <v>0</v>
      </c>
      <c r="J62" s="95">
        <f>IF(8&lt;=Exit!$B$6,1*'Equity Returns'!J5+(A62/Assumptions!$B$13)*'Equity Returns'!J6+IF(AND(Assumptions!$B$67=1,8=(INT((Assumptions!$B$68-1)/12)+1)),Refinance!$B$14,0)+IF(8=Exit!$B$6,(Exit!$B$9*(1-(Assumptions!$B$77+Assumptions!$B$78))+Exit!$B$12),0),0)</f>
        <v>0</v>
      </c>
      <c r="K62" s="95">
        <f>IF(9&lt;=Exit!$B$6,1*'Equity Returns'!K5+(A62/Assumptions!$B$13)*'Equity Returns'!K6+IF(AND(Assumptions!$B$67=1,9=(INT((Assumptions!$B$68-1)/12)+1)),Refinance!$B$14,0)+IF(9=Exit!$B$6,(Exit!$B$9*(1-(Assumptions!$B$77+Assumptions!$B$78))+Exit!$B$12),0),0)</f>
        <v>0</v>
      </c>
      <c r="L62" s="95">
        <f>IF(10&lt;=Exit!$B$6,1*'Equity Returns'!L5+(A62/Assumptions!$B$13)*'Equity Returns'!L6+IF(AND(Assumptions!$B$67=1,10=(INT((Assumptions!$B$68-1)/12)+1)),Refinance!$B$14,0)+IF(10=Exit!$B$6,(Exit!$B$9*(1-(Assumptions!$B$77+Assumptions!$B$78))+Exit!$B$12),0),0)</f>
        <v>0</v>
      </c>
      <c r="M62" s="102">
        <f t="shared" si="7"/>
        <v>0.28605919222681786</v>
      </c>
    </row>
    <row r="63" spans="1:14" x14ac:dyDescent="0.25">
      <c r="A63" s="104">
        <f>Assumptions!$B$13+0</f>
        <v>6.5000000000000002E-2</v>
      </c>
      <c r="B63" s="95">
        <f>-Acquisition!$B$23</f>
        <v>-600100</v>
      </c>
      <c r="C63" s="95">
        <f>IF(1&lt;=Exit!$B$6,1*'Equity Returns'!C5+(A63/Assumptions!$B$13)*'Equity Returns'!C6+IF(AND(Assumptions!$B$67=1,1=(INT((Assumptions!$B$68-1)/12)+1)),Refinance!$B$14,0)+IF(1=Exit!$B$6,(Exit!$B$9*(1-(Assumptions!$B$77+Assumptions!$B$78))+Exit!$B$12),0),0)</f>
        <v>22074.913333333323</v>
      </c>
      <c r="D63" s="95">
        <f>IF(2&lt;=Exit!$B$6,1*'Equity Returns'!D5+(A63/Assumptions!$B$13)*'Equity Returns'!D6+IF(AND(Assumptions!$B$67=1,2=(INT((Assumptions!$B$68-1)/12)+1)),Refinance!$B$14,0)+IF(2=Exit!$B$6,(Exit!$B$9*(1-(Assumptions!$B$77+Assumptions!$B$78))+Exit!$B$12),0),0)</f>
        <v>60285.637633333397</v>
      </c>
      <c r="E63" s="95">
        <f>IF(3&lt;=Exit!$B$6,1*'Equity Returns'!E5+(A63/Assumptions!$B$13)*'Equity Returns'!E6+IF(AND(Assumptions!$B$67=1,3=(INT((Assumptions!$B$68-1)/12)+1)),Refinance!$B$14,0)+IF(3=Exit!$B$6,(Exit!$B$9*(1-(Assumptions!$B$77+Assumptions!$B$78))+Exit!$B$12),0),0)</f>
        <v>672056.0660397606</v>
      </c>
      <c r="F63" s="95">
        <f>IF(4&lt;=Exit!$B$6,1*'Equity Returns'!F5+(A63/Assumptions!$B$13)*'Equity Returns'!F6+IF(AND(Assumptions!$B$67=1,4=(INT((Assumptions!$B$68-1)/12)+1)),Refinance!$B$14,0)+IF(4=Exit!$B$6,(Exit!$B$9*(1-(Assumptions!$B$77+Assumptions!$B$78))+Exit!$B$12),0),0)</f>
        <v>23248.685451384037</v>
      </c>
      <c r="G63" s="95">
        <f>IF(5&lt;=Exit!$B$6,1*'Equity Returns'!G5+(A63/Assumptions!$B$13)*'Equity Returns'!G6+IF(AND(Assumptions!$B$67=1,5=(INT((Assumptions!$B$68-1)/12)+1)),Refinance!$B$14,0)+IF(5=Exit!$B$6,(Exit!$B$9*(1-(Assumptions!$B$77+Assumptions!$B$78))+Exit!$B$12),0),0)</f>
        <v>730404.84834105056</v>
      </c>
      <c r="H63" s="95">
        <f>IF(6&lt;=Exit!$B$6,1*'Equity Returns'!H5+(A63/Assumptions!$B$13)*'Equity Returns'!H6+IF(AND(Assumptions!$B$67=1,6=(INT((Assumptions!$B$68-1)/12)+1)),Refinance!$B$14,0)+IF(6=Exit!$B$6,(Exit!$B$9*(1-(Assumptions!$B$77+Assumptions!$B$78))+Exit!$B$12),0),0)</f>
        <v>0</v>
      </c>
      <c r="I63" s="95">
        <f>IF(7&lt;=Exit!$B$6,1*'Equity Returns'!I5+(A63/Assumptions!$B$13)*'Equity Returns'!I6+IF(AND(Assumptions!$B$67=1,7=(INT((Assumptions!$B$68-1)/12)+1)),Refinance!$B$14,0)+IF(7=Exit!$B$6,(Exit!$B$9*(1-(Assumptions!$B$77+Assumptions!$B$78))+Exit!$B$12),0),0)</f>
        <v>0</v>
      </c>
      <c r="J63" s="95">
        <f>IF(8&lt;=Exit!$B$6,1*'Equity Returns'!J5+(A63/Assumptions!$B$13)*'Equity Returns'!J6+IF(AND(Assumptions!$B$67=1,8=(INT((Assumptions!$B$68-1)/12)+1)),Refinance!$B$14,0)+IF(8=Exit!$B$6,(Exit!$B$9*(1-(Assumptions!$B$77+Assumptions!$B$78))+Exit!$B$12),0),0)</f>
        <v>0</v>
      </c>
      <c r="K63" s="95">
        <f>IF(9&lt;=Exit!$B$6,1*'Equity Returns'!K5+(A63/Assumptions!$B$13)*'Equity Returns'!K6+IF(AND(Assumptions!$B$67=1,9=(INT((Assumptions!$B$68-1)/12)+1)),Refinance!$B$14,0)+IF(9=Exit!$B$6,(Exit!$B$9*(1-(Assumptions!$B$77+Assumptions!$B$78))+Exit!$B$12),0),0)</f>
        <v>0</v>
      </c>
      <c r="L63" s="95">
        <f>IF(10&lt;=Exit!$B$6,1*'Equity Returns'!L5+(A63/Assumptions!$B$13)*'Equity Returns'!L6+IF(AND(Assumptions!$B$67=1,10=(INT((Assumptions!$B$68-1)/12)+1)),Refinance!$B$14,0)+IF(10=Exit!$B$6,(Exit!$B$9*(1-(Assumptions!$B$77+Assumptions!$B$78))+Exit!$B$12),0),0)</f>
        <v>0</v>
      </c>
      <c r="M63" s="102">
        <f t="shared" si="7"/>
        <v>0.27741656061743103</v>
      </c>
    </row>
    <row r="64" spans="1:14" x14ac:dyDescent="0.25">
      <c r="A64" s="104">
        <f>Assumptions!$B$13+0.005</f>
        <v>7.0000000000000007E-2</v>
      </c>
      <c r="B64" s="95">
        <f>-Acquisition!$B$23</f>
        <v>-600100</v>
      </c>
      <c r="C64" s="95">
        <f>IF(1&lt;=Exit!$B$6,1*'Equity Returns'!C5+(A64/Assumptions!$B$13)*'Equity Returns'!C6+IF(AND(Assumptions!$B$67=1,1=(INT((Assumptions!$B$68-1)/12)+1)),Refinance!$B$14,0)+IF(1=Exit!$B$6,(Exit!$B$9*(1-(Assumptions!$B$77+Assumptions!$B$78))+Exit!$B$12),0),0)</f>
        <v>17524.913333333316</v>
      </c>
      <c r="D64" s="95">
        <f>IF(2&lt;=Exit!$B$6,1*'Equity Returns'!D5+(A64/Assumptions!$B$13)*'Equity Returns'!D6+IF(AND(Assumptions!$B$67=1,2=(INT((Assumptions!$B$68-1)/12)+1)),Refinance!$B$14,0)+IF(2=Exit!$B$6,(Exit!$B$9*(1-(Assumptions!$B$77+Assumptions!$B$78))+Exit!$B$12),0),0)</f>
        <v>55735.63763333339</v>
      </c>
      <c r="E64" s="95">
        <f>IF(3&lt;=Exit!$B$6,1*'Equity Returns'!E5+(A64/Assumptions!$B$13)*'Equity Returns'!E6+IF(AND(Assumptions!$B$67=1,3=(INT((Assumptions!$B$68-1)/12)+1)),Refinance!$B$14,0)+IF(3=Exit!$B$6,(Exit!$B$9*(1-(Assumptions!$B$77+Assumptions!$B$78))+Exit!$B$12),0),0)</f>
        <v>666482.5717985729</v>
      </c>
      <c r="F64" s="95">
        <f>IF(4&lt;=Exit!$B$6,1*'Equity Returns'!F5+(A64/Assumptions!$B$13)*'Equity Returns'!F6+IF(AND(Assumptions!$B$67=1,4=(INT((Assumptions!$B$68-1)/12)+1)),Refinance!$B$14,0)+IF(4=Exit!$B$6,(Exit!$B$9*(1-(Assumptions!$B$77+Assumptions!$B$78))+Exit!$B$12),0),0)</f>
        <v>14769.839927881243</v>
      </c>
      <c r="G64" s="95">
        <f>IF(5&lt;=Exit!$B$6,1*'Equity Returns'!G5+(A64/Assumptions!$B$13)*'Equity Returns'!G6+IF(AND(Assumptions!$B$67=1,5=(INT((Assumptions!$B$68-1)/12)+1)),Refinance!$B$14,0)+IF(5=Exit!$B$6,(Exit!$B$9*(1-(Assumptions!$B$77+Assumptions!$B$78))+Exit!$B$12),0),0)</f>
        <v>721926.00281754776</v>
      </c>
      <c r="H64" s="95">
        <f>IF(6&lt;=Exit!$B$6,1*'Equity Returns'!H5+(A64/Assumptions!$B$13)*'Equity Returns'!H6+IF(AND(Assumptions!$B$67=1,6=(INT((Assumptions!$B$68-1)/12)+1)),Refinance!$B$14,0)+IF(6=Exit!$B$6,(Exit!$B$9*(1-(Assumptions!$B$77+Assumptions!$B$78))+Exit!$B$12),0),0)</f>
        <v>0</v>
      </c>
      <c r="I64" s="95">
        <f>IF(7&lt;=Exit!$B$6,1*'Equity Returns'!I5+(A64/Assumptions!$B$13)*'Equity Returns'!I6+IF(AND(Assumptions!$B$67=1,7=(INT((Assumptions!$B$68-1)/12)+1)),Refinance!$B$14,0)+IF(7=Exit!$B$6,(Exit!$B$9*(1-(Assumptions!$B$77+Assumptions!$B$78))+Exit!$B$12),0),0)</f>
        <v>0</v>
      </c>
      <c r="J64" s="95">
        <f>IF(8&lt;=Exit!$B$6,1*'Equity Returns'!J5+(A64/Assumptions!$B$13)*'Equity Returns'!J6+IF(AND(Assumptions!$B$67=1,8=(INT((Assumptions!$B$68-1)/12)+1)),Refinance!$B$14,0)+IF(8=Exit!$B$6,(Exit!$B$9*(1-(Assumptions!$B$77+Assumptions!$B$78))+Exit!$B$12),0),0)</f>
        <v>0</v>
      </c>
      <c r="K64" s="95">
        <f>IF(9&lt;=Exit!$B$6,1*'Equity Returns'!K5+(A64/Assumptions!$B$13)*'Equity Returns'!K6+IF(AND(Assumptions!$B$67=1,9=(INT((Assumptions!$B$68-1)/12)+1)),Refinance!$B$14,0)+IF(9=Exit!$B$6,(Exit!$B$9*(1-(Assumptions!$B$77+Assumptions!$B$78))+Exit!$B$12),0),0)</f>
        <v>0</v>
      </c>
      <c r="L64" s="95">
        <f>IF(10&lt;=Exit!$B$6,1*'Equity Returns'!L5+(A64/Assumptions!$B$13)*'Equity Returns'!L6+IF(AND(Assumptions!$B$67=1,10=(INT((Assumptions!$B$68-1)/12)+1)),Refinance!$B$14,0)+IF(10=Exit!$B$6,(Exit!$B$9*(1-(Assumptions!$B$77+Assumptions!$B$78))+Exit!$B$12),0),0)</f>
        <v>0</v>
      </c>
      <c r="M64" s="102">
        <f t="shared" si="7"/>
        <v>0.26872654049627154</v>
      </c>
    </row>
    <row r="65" spans="1:14" x14ac:dyDescent="0.25">
      <c r="A65" s="104">
        <f>Assumptions!$B$13+0.01</f>
        <v>7.4999999999999997E-2</v>
      </c>
      <c r="B65" s="95">
        <f>-Acquisition!$B$23</f>
        <v>-600100</v>
      </c>
      <c r="C65" s="95">
        <f>IF(1&lt;=Exit!$B$6,1*'Equity Returns'!C5+(A65/Assumptions!$B$13)*'Equity Returns'!C6+IF(AND(Assumptions!$B$67=1,1=(INT((Assumptions!$B$68-1)/12)+1)),Refinance!$B$14,0)+IF(1=Exit!$B$6,(Exit!$B$9*(1-(Assumptions!$B$77+Assumptions!$B$78))+Exit!$B$12),0),0)</f>
        <v>12974.91333333333</v>
      </c>
      <c r="D65" s="95">
        <f>IF(2&lt;=Exit!$B$6,1*'Equity Returns'!D5+(A65/Assumptions!$B$13)*'Equity Returns'!D6+IF(AND(Assumptions!$B$67=1,2=(INT((Assumptions!$B$68-1)/12)+1)),Refinance!$B$14,0)+IF(2=Exit!$B$6,(Exit!$B$9*(1-(Assumptions!$B$77+Assumptions!$B$78))+Exit!$B$12),0),0)</f>
        <v>51185.637633333405</v>
      </c>
      <c r="E65" s="95">
        <f>IF(3&lt;=Exit!$B$6,1*'Equity Returns'!E5+(A65/Assumptions!$B$13)*'Equity Returns'!E6+IF(AND(Assumptions!$B$67=1,3=(INT((Assumptions!$B$68-1)/12)+1)),Refinance!$B$14,0)+IF(3=Exit!$B$6,(Exit!$B$9*(1-(Assumptions!$B$77+Assumptions!$B$78))+Exit!$B$12),0),0)</f>
        <v>660909.0775573852</v>
      </c>
      <c r="F65" s="95">
        <f>IF(4&lt;=Exit!$B$6,1*'Equity Returns'!F5+(A65/Assumptions!$B$13)*'Equity Returns'!F6+IF(AND(Assumptions!$B$67=1,4=(INT((Assumptions!$B$68-1)/12)+1)),Refinance!$B$14,0)+IF(4=Exit!$B$6,(Exit!$B$9*(1-(Assumptions!$B$77+Assumptions!$B$78))+Exit!$B$12),0),0)</f>
        <v>6290.9944043785072</v>
      </c>
      <c r="G65" s="95">
        <f>IF(5&lt;=Exit!$B$6,1*'Equity Returns'!G5+(A65/Assumptions!$B$13)*'Equity Returns'!G6+IF(AND(Assumptions!$B$67=1,5=(INT((Assumptions!$B$68-1)/12)+1)),Refinance!$B$14,0)+IF(5=Exit!$B$6,(Exit!$B$9*(1-(Assumptions!$B$77+Assumptions!$B$78))+Exit!$B$12),0),0)</f>
        <v>713447.15729404509</v>
      </c>
      <c r="H65" s="95">
        <f>IF(6&lt;=Exit!$B$6,1*'Equity Returns'!H5+(A65/Assumptions!$B$13)*'Equity Returns'!H6+IF(AND(Assumptions!$B$67=1,6=(INT((Assumptions!$B$68-1)/12)+1)),Refinance!$B$14,0)+IF(6=Exit!$B$6,(Exit!$B$9*(1-(Assumptions!$B$77+Assumptions!$B$78))+Exit!$B$12),0),0)</f>
        <v>0</v>
      </c>
      <c r="I65" s="95">
        <f>IF(7&lt;=Exit!$B$6,1*'Equity Returns'!I5+(A65/Assumptions!$B$13)*'Equity Returns'!I6+IF(AND(Assumptions!$B$67=1,7=(INT((Assumptions!$B$68-1)/12)+1)),Refinance!$B$14,0)+IF(7=Exit!$B$6,(Exit!$B$9*(1-(Assumptions!$B$77+Assumptions!$B$78))+Exit!$B$12),0),0)</f>
        <v>0</v>
      </c>
      <c r="J65" s="95">
        <f>IF(8&lt;=Exit!$B$6,1*'Equity Returns'!J5+(A65/Assumptions!$B$13)*'Equity Returns'!J6+IF(AND(Assumptions!$B$67=1,8=(INT((Assumptions!$B$68-1)/12)+1)),Refinance!$B$14,0)+IF(8=Exit!$B$6,(Exit!$B$9*(1-(Assumptions!$B$77+Assumptions!$B$78))+Exit!$B$12),0),0)</f>
        <v>0</v>
      </c>
      <c r="K65" s="95">
        <f>IF(9&lt;=Exit!$B$6,1*'Equity Returns'!K5+(A65/Assumptions!$B$13)*'Equity Returns'!K6+IF(AND(Assumptions!$B$67=1,9=(INT((Assumptions!$B$68-1)/12)+1)),Refinance!$B$14,0)+IF(9=Exit!$B$6,(Exit!$B$9*(1-(Assumptions!$B$77+Assumptions!$B$78))+Exit!$B$12),0),0)</f>
        <v>0</v>
      </c>
      <c r="L65" s="95">
        <f>IF(10&lt;=Exit!$B$6,1*'Equity Returns'!L5+(A65/Assumptions!$B$13)*'Equity Returns'!L6+IF(AND(Assumptions!$B$67=1,10=(INT((Assumptions!$B$68-1)/12)+1)),Refinance!$B$14,0)+IF(10=Exit!$B$6,(Exit!$B$9*(1-(Assumptions!$B$77+Assumptions!$B$78))+Exit!$B$12),0),0)</f>
        <v>0</v>
      </c>
      <c r="M65" s="102">
        <f t="shared" si="7"/>
        <v>0.25998751057759639</v>
      </c>
    </row>
    <row r="66" spans="1:14" x14ac:dyDescent="0.25">
      <c r="A66" s="104">
        <f>Assumptions!$B$13+0.015</f>
        <v>0.08</v>
      </c>
      <c r="B66" s="95">
        <f>-Acquisition!$B$23</f>
        <v>-600100</v>
      </c>
      <c r="C66" s="95">
        <f>IF(1&lt;=Exit!$B$6,1*'Equity Returns'!C5+(A66/Assumptions!$B$13)*'Equity Returns'!C6+IF(AND(Assumptions!$B$67=1,1=(INT((Assumptions!$B$68-1)/12)+1)),Refinance!$B$14,0)+IF(1=Exit!$B$6,(Exit!$B$9*(1-(Assumptions!$B$77+Assumptions!$B$78))+Exit!$B$12),0),0)</f>
        <v>8424.9133333333157</v>
      </c>
      <c r="D66" s="95">
        <f>IF(2&lt;=Exit!$B$6,1*'Equity Returns'!D5+(A66/Assumptions!$B$13)*'Equity Returns'!D6+IF(AND(Assumptions!$B$67=1,2=(INT((Assumptions!$B$68-1)/12)+1)),Refinance!$B$14,0)+IF(2=Exit!$B$6,(Exit!$B$9*(1-(Assumptions!$B$77+Assumptions!$B$78))+Exit!$B$12),0),0)</f>
        <v>46635.63763333339</v>
      </c>
      <c r="E66" s="95">
        <f>IF(3&lt;=Exit!$B$6,1*'Equity Returns'!E5+(A66/Assumptions!$B$13)*'Equity Returns'!E6+IF(AND(Assumptions!$B$67=1,3=(INT((Assumptions!$B$68-1)/12)+1)),Refinance!$B$14,0)+IF(3=Exit!$B$6,(Exit!$B$9*(1-(Assumptions!$B$77+Assumptions!$B$78))+Exit!$B$12),0),0)</f>
        <v>655335.5833161975</v>
      </c>
      <c r="F66" s="95">
        <f>IF(4&lt;=Exit!$B$6,1*'Equity Returns'!F5+(A66/Assumptions!$B$13)*'Equity Returns'!F6+IF(AND(Assumptions!$B$67=1,4=(INT((Assumptions!$B$68-1)/12)+1)),Refinance!$B$14,0)+IF(4=Exit!$B$6,(Exit!$B$9*(1-(Assumptions!$B$77+Assumptions!$B$78))+Exit!$B$12),0),0)</f>
        <v>-2187.8511191242724</v>
      </c>
      <c r="G66" s="95">
        <f>IF(5&lt;=Exit!$B$6,1*'Equity Returns'!G5+(A66/Assumptions!$B$13)*'Equity Returns'!G6+IF(AND(Assumptions!$B$67=1,5=(INT((Assumptions!$B$68-1)/12)+1)),Refinance!$B$14,0)+IF(5=Exit!$B$6,(Exit!$B$9*(1-(Assumptions!$B$77+Assumptions!$B$78))+Exit!$B$12),0),0)</f>
        <v>704968.31177054229</v>
      </c>
      <c r="H66" s="95">
        <f>IF(6&lt;=Exit!$B$6,1*'Equity Returns'!H5+(A66/Assumptions!$B$13)*'Equity Returns'!H6+IF(AND(Assumptions!$B$67=1,6=(INT((Assumptions!$B$68-1)/12)+1)),Refinance!$B$14,0)+IF(6=Exit!$B$6,(Exit!$B$9*(1-(Assumptions!$B$77+Assumptions!$B$78))+Exit!$B$12),0),0)</f>
        <v>0</v>
      </c>
      <c r="I66" s="95">
        <f>IF(7&lt;=Exit!$B$6,1*'Equity Returns'!I5+(A66/Assumptions!$B$13)*'Equity Returns'!I6+IF(AND(Assumptions!$B$67=1,7=(INT((Assumptions!$B$68-1)/12)+1)),Refinance!$B$14,0)+IF(7=Exit!$B$6,(Exit!$B$9*(1-(Assumptions!$B$77+Assumptions!$B$78))+Exit!$B$12),0),0)</f>
        <v>0</v>
      </c>
      <c r="J66" s="95">
        <f>IF(8&lt;=Exit!$B$6,1*'Equity Returns'!J5+(A66/Assumptions!$B$13)*'Equity Returns'!J6+IF(AND(Assumptions!$B$67=1,8=(INT((Assumptions!$B$68-1)/12)+1)),Refinance!$B$14,0)+IF(8=Exit!$B$6,(Exit!$B$9*(1-(Assumptions!$B$77+Assumptions!$B$78))+Exit!$B$12),0),0)</f>
        <v>0</v>
      </c>
      <c r="K66" s="95">
        <f>IF(9&lt;=Exit!$B$6,1*'Equity Returns'!K5+(A66/Assumptions!$B$13)*'Equity Returns'!K6+IF(AND(Assumptions!$B$67=1,9=(INT((Assumptions!$B$68-1)/12)+1)),Refinance!$B$14,0)+IF(9=Exit!$B$6,(Exit!$B$9*(1-(Assumptions!$B$77+Assumptions!$B$78))+Exit!$B$12),0),0)</f>
        <v>0</v>
      </c>
      <c r="L66" s="95">
        <f>IF(10&lt;=Exit!$B$6,1*'Equity Returns'!L5+(A66/Assumptions!$B$13)*'Equity Returns'!L6+IF(AND(Assumptions!$B$67=1,10=(INT((Assumptions!$B$68-1)/12)+1)),Refinance!$B$14,0)+IF(10=Exit!$B$6,(Exit!$B$9*(1-(Assumptions!$B$77+Assumptions!$B$78))+Exit!$B$12),0),0)</f>
        <v>0</v>
      </c>
      <c r="M66" s="102">
        <f t="shared" si="7"/>
        <v>0.25119777708542546</v>
      </c>
    </row>
    <row r="69" spans="1:14" x14ac:dyDescent="0.25">
      <c r="A69" s="145" t="s">
        <v>440</v>
      </c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</row>
  </sheetData>
  <mergeCells count="9">
    <mergeCell ref="A37:N37"/>
    <mergeCell ref="A48:N48"/>
    <mergeCell ref="A58:N58"/>
    <mergeCell ref="A69:N69"/>
    <mergeCell ref="A1:N1"/>
    <mergeCell ref="A2:N2"/>
    <mergeCell ref="A4:N4"/>
    <mergeCell ref="A15:N15"/>
    <mergeCell ref="A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showGridLines="0" zoomScaleNormal="100" workbookViewId="0">
      <selection activeCell="A4" sqref="A4:D4"/>
    </sheetView>
  </sheetViews>
  <sheetFormatPr defaultColWidth="8.7109375" defaultRowHeight="15" x14ac:dyDescent="0.25"/>
  <cols>
    <col min="1" max="1" width="32" customWidth="1"/>
    <col min="2" max="4" width="16" customWidth="1"/>
    <col min="5" max="5" width="3" customWidth="1"/>
  </cols>
  <sheetData>
    <row r="1" spans="1:6" ht="24" customHeight="1" x14ac:dyDescent="0.25">
      <c r="A1" s="141" t="s">
        <v>441</v>
      </c>
      <c r="B1" s="141"/>
      <c r="C1" s="141"/>
      <c r="D1" s="141"/>
      <c r="E1" s="141"/>
      <c r="F1" s="141"/>
    </row>
    <row r="2" spans="1:6" ht="13.5" customHeight="1" x14ac:dyDescent="0.25">
      <c r="A2" s="142" t="s">
        <v>442</v>
      </c>
      <c r="B2" s="142"/>
      <c r="C2" s="142"/>
      <c r="D2" s="142"/>
      <c r="E2" s="142"/>
      <c r="F2" s="142"/>
    </row>
    <row r="4" spans="1:6" x14ac:dyDescent="0.25">
      <c r="A4" s="143" t="s">
        <v>443</v>
      </c>
      <c r="B4" s="143"/>
      <c r="C4" s="143"/>
      <c r="D4" s="143"/>
    </row>
    <row r="5" spans="1:6" x14ac:dyDescent="0.25">
      <c r="B5" s="19" t="s">
        <v>444</v>
      </c>
      <c r="C5" s="19" t="s">
        <v>445</v>
      </c>
      <c r="D5" s="19" t="s">
        <v>446</v>
      </c>
    </row>
    <row r="6" spans="1:6" x14ac:dyDescent="0.25">
      <c r="A6" s="1" t="s">
        <v>3</v>
      </c>
      <c r="B6" s="106">
        <f>Assumptions!D8</f>
        <v>1450000</v>
      </c>
      <c r="C6" s="106">
        <f>Assumptions!E8</f>
        <v>1300000</v>
      </c>
      <c r="D6" s="106">
        <f>Assumptions!F8</f>
        <v>1200000</v>
      </c>
    </row>
    <row r="7" spans="1:6" x14ac:dyDescent="0.25">
      <c r="A7" s="1" t="s">
        <v>7</v>
      </c>
      <c r="B7" s="107">
        <f>Assumptions!D9</f>
        <v>0.85</v>
      </c>
      <c r="C7" s="107">
        <f>Assumptions!E9</f>
        <v>0.92</v>
      </c>
      <c r="D7" s="107">
        <f>Assumptions!F9</f>
        <v>0.95</v>
      </c>
    </row>
    <row r="8" spans="1:6" x14ac:dyDescent="0.25">
      <c r="A8" s="1" t="s">
        <v>435</v>
      </c>
      <c r="B8" s="107">
        <f>Assumptions!D10</f>
        <v>0.02</v>
      </c>
      <c r="C8" s="107">
        <f>Assumptions!E10</f>
        <v>0.03</v>
      </c>
      <c r="D8" s="107">
        <f>Assumptions!F10</f>
        <v>0.04</v>
      </c>
    </row>
    <row r="9" spans="1:6" x14ac:dyDescent="0.25">
      <c r="A9" s="1" t="s">
        <v>447</v>
      </c>
      <c r="B9" s="107">
        <f>Assumptions!D11</f>
        <v>3.5000000000000003E-2</v>
      </c>
      <c r="C9" s="107">
        <f>Assumptions!E11</f>
        <v>2.5000000000000001E-2</v>
      </c>
      <c r="D9" s="107">
        <f>Assumptions!F11</f>
        <v>0.02</v>
      </c>
    </row>
    <row r="10" spans="1:6" x14ac:dyDescent="0.25">
      <c r="A10" s="1" t="s">
        <v>57</v>
      </c>
      <c r="B10" s="107">
        <f>Assumptions!D12</f>
        <v>7.4999999999999997E-2</v>
      </c>
      <c r="C10" s="107">
        <f>Assumptions!E12</f>
        <v>6.5000000000000002E-2</v>
      </c>
      <c r="D10" s="107">
        <f>Assumptions!F12</f>
        <v>0.06</v>
      </c>
    </row>
    <row r="11" spans="1:6" x14ac:dyDescent="0.25">
      <c r="A11" s="1" t="s">
        <v>448</v>
      </c>
      <c r="B11" s="107">
        <f>Assumptions!D13</f>
        <v>7.4999999999999997E-2</v>
      </c>
      <c r="C11" s="107">
        <f>Assumptions!E13</f>
        <v>6.5000000000000002E-2</v>
      </c>
      <c r="D11" s="107">
        <f>Assumptions!F13</f>
        <v>0.06</v>
      </c>
    </row>
    <row r="13" spans="1:6" x14ac:dyDescent="0.25">
      <c r="A13" s="143" t="s">
        <v>449</v>
      </c>
      <c r="B13" s="143"/>
      <c r="C13" s="143"/>
      <c r="D13" s="143"/>
    </row>
    <row r="14" spans="1:6" x14ac:dyDescent="0.25">
      <c r="B14" s="19" t="s">
        <v>444</v>
      </c>
      <c r="C14" s="19" t="s">
        <v>445</v>
      </c>
      <c r="D14" s="19" t="s">
        <v>446</v>
      </c>
    </row>
    <row r="15" spans="1:6" x14ac:dyDescent="0.25">
      <c r="A15" s="14" t="s">
        <v>18</v>
      </c>
      <c r="B15" s="108">
        <f>IFERROR(IRR(H21:R21),0)</f>
        <v>-0.14632380768938702</v>
      </c>
      <c r="C15" s="108">
        <f>IFERROR(IRR(H22:R22),0)</f>
        <v>0.27741656061743125</v>
      </c>
      <c r="D15" s="108">
        <f>IFERROR(IRR(H23:R23),0)</f>
        <v>0.42723135397937639</v>
      </c>
    </row>
    <row r="16" spans="1:6" x14ac:dyDescent="0.25">
      <c r="A16" s="14" t="s">
        <v>19</v>
      </c>
      <c r="B16" s="109">
        <f>IFERROR(SUMIF(I21:R21,"&gt;0")/(-H21),0)</f>
        <v>0.66674233883547263</v>
      </c>
      <c r="C16" s="109">
        <f>IFERROR(SUMIF(I22:R22,"&gt;0")/(-H22),0)</f>
        <v>2.5130314127626425</v>
      </c>
      <c r="D16" s="109">
        <f>IFERROR(SUMIF(I23:R23,"&gt;0")/(-H23),0)</f>
        <v>3.9178648773467248</v>
      </c>
    </row>
    <row r="17" spans="1:18" x14ac:dyDescent="0.25">
      <c r="A17" s="14" t="s">
        <v>450</v>
      </c>
      <c r="B17" s="104">
        <f>IFERROR(Valuation!C7/Assumptions!$D$8,0)</f>
        <v>5.8775802298850571E-2</v>
      </c>
      <c r="C17" s="104">
        <f>IFERROR(Valuation!C7/Assumptions!$E$8,0)</f>
        <v>6.5557625641025644E-2</v>
      </c>
      <c r="D17" s="104">
        <f>IFERROR(Valuation!C7/Assumptions!$F$8,0)</f>
        <v>7.1020761111111108E-2</v>
      </c>
    </row>
    <row r="18" spans="1:18" x14ac:dyDescent="0.25">
      <c r="A18" s="14" t="s">
        <v>451</v>
      </c>
      <c r="B18" s="101">
        <f>IFERROR(Exit!$B$7*((Assumptions!$D$9)/Assumptions!$B$9)*((1+Assumptions!$D$10)/(1+Assumptions!$B$10))^(Exit!$B$6-1)/Assumptions!$D$12,0)</f>
        <v>1759574.0124291792</v>
      </c>
      <c r="C18" s="101">
        <f>IFERROR(Exit!$B$7*((Assumptions!$E$9)/Assumptions!$B$9)*((1+Assumptions!$E$10)/(1+Assumptions!$B$10))^(Exit!$B$6-1)/Assumptions!$E$12,0)</f>
        <v>2284928.2087041684</v>
      </c>
      <c r="D18" s="101">
        <f>IFERROR(Exit!$B$7*((Assumptions!$F$9)/Assumptions!$B$9)*((1+Assumptions!$F$10)/(1+Assumptions!$B$10))^(Exit!$B$6-1)/Assumptions!$F$12,0)</f>
        <v>2656775.7704504179</v>
      </c>
    </row>
    <row r="19" spans="1:18" x14ac:dyDescent="0.25">
      <c r="A19" s="14" t="s">
        <v>452</v>
      </c>
      <c r="B19" s="101">
        <f>(Assumptions!$D$8*(1+Assumptions!$B$65)+Assumptions!$B$62*(Assumptions!$B$58*Assumptions!$D$8)+Assumptions!$B$56-(Assumptions!$B$58*Assumptions!$D$8))</f>
        <v>649150.00000000012</v>
      </c>
      <c r="C19" s="101">
        <f>(Assumptions!$E$8*(1+Assumptions!$B$65)+Assumptions!$B$62*(Assumptions!$B$58*Assumptions!$E$8)+Assumptions!$B$56-(Assumptions!$B$58*Assumptions!$E$8))</f>
        <v>600100</v>
      </c>
      <c r="D19" s="101">
        <f>(Assumptions!$F$8*(1+Assumptions!$B$65)+Assumptions!$B$62*(Assumptions!$B$58*Assumptions!$F$8)+Assumptions!$B$56-(Assumptions!$B$58*Assumptions!$F$8))</f>
        <v>567400</v>
      </c>
    </row>
    <row r="21" spans="1:18" x14ac:dyDescent="0.25">
      <c r="G21" s="110" t="s">
        <v>444</v>
      </c>
      <c r="H21" s="111">
        <f>-(Assumptions!$D$8*(1+Assumptions!$B$65)+Assumptions!$B$62*(Assumptions!$B$58*Assumptions!$D$8)+Assumptions!$B$56-(Assumptions!$B$58*Assumptions!$D$8))</f>
        <v>-649150.00000000012</v>
      </c>
      <c r="I21" s="111">
        <f>IF(1&lt;=Exit!$B$6,((Assumptions!$D$9)/Assumptions!$B$9)*((1+Assumptions!$D$10)/(1+Assumptions!$B$10))^(1-1)*'Equity Returns'!C5+(((Assumptions!$B$58*Assumptions!$D$8)/Acquisition!$B$10)*(Assumptions!$D$13/Assumptions!$B$13))*'Equity Returns'!C6+IF(AND(Assumptions!$B$67=1,1=(INT((Assumptions!$B$68-1)/12)+1)),((Refinance!$B$11+Refinance!$B$13)*((Assumptions!$D$9)/Assumptions!$B$9)*((1+Assumptions!$D$10)/(1+Assumptions!$B$10))^((INT((Assumptions!$B$68-1)/12)+1)-1)+Refinance!$B$12*((Assumptions!$B$58*Assumptions!$D$8)/Acquisition!$B$10)),0)+IF(1=Exit!$B$6,((Exit!$B$7*((Assumptions!$D$9)/Assumptions!$B$9)*((1+Assumptions!$D$10)/(1+Assumptions!$B$10))^(1-1)/Assumptions!$D$12)*(1-(Assumptions!$B$77+Assumptions!$B$78))+Exit!$B$12*((Assumptions!$B$58*Assumptions!$D$8)/Acquisition!$B$10)),0),0)</f>
        <v>-1080.243115942023</v>
      </c>
      <c r="J21" s="111">
        <f>IF(2&lt;=Exit!$B$6,((Assumptions!$D$9)/Assumptions!$B$9)*((1+Assumptions!$D$10)/(1+Assumptions!$B$10))^(2-1)*'Equity Returns'!D5+(((Assumptions!$B$58*Assumptions!$D$8)/Acquisition!$B$10)*(Assumptions!$D$13/Assumptions!$B$13))*'Equity Returns'!D6+IF(AND(Assumptions!$B$67=1,2=(INT((Assumptions!$B$68-1)/12)+1)),((Refinance!$B$11+Refinance!$B$13)*((Assumptions!$D$9)/Assumptions!$B$9)*((1+Assumptions!$D$10)/(1+Assumptions!$B$10))^((INT((Assumptions!$B$68-1)/12)+1)-1)+Refinance!$B$12*((Assumptions!$B$58*Assumptions!$D$8)/Acquisition!$B$10)),0)+IF(2=Exit!$B$6,((Exit!$B$7*((Assumptions!$D$9)/Assumptions!$B$9)*((1+Assumptions!$D$10)/(1+Assumptions!$B$10))^(2-1)/Assumptions!$D$12)*(1-(Assumptions!$B$77+Assumptions!$B$78))+Exit!$B$12*((Assumptions!$B$58*Assumptions!$D$8)/Acquisition!$B$10)),0),0)</f>
        <v>33151.802266884828</v>
      </c>
      <c r="K21" s="111">
        <f>IF(3&lt;=Exit!$B$6,((Assumptions!$D$9)/Assumptions!$B$9)*((1+Assumptions!$D$10)/(1+Assumptions!$B$10))^(3-1)*'Equity Returns'!E5+(((Assumptions!$B$58*Assumptions!$D$8)/Acquisition!$B$10)*(Assumptions!$D$13/Assumptions!$B$13))*'Equity Returns'!E6+IF(AND(Assumptions!$B$67=1,3=(INT((Assumptions!$B$68-1)/12)+1)),((Refinance!$B$11+Refinance!$B$13)*((Assumptions!$D$9)/Assumptions!$B$9)*((1+Assumptions!$D$10)/(1+Assumptions!$B$10))^((INT((Assumptions!$B$68-1)/12)+1)-1)+Refinance!$B$12*((Assumptions!$B$58*Assumptions!$D$8)/Acquisition!$B$10)),0)+IF(3=Exit!$B$6,((Exit!$B$7*((Assumptions!$D$9)/Assumptions!$B$9)*((1+Assumptions!$D$10)/(1+Assumptions!$B$10))^(3-1)/Assumptions!$D$12)*(1-(Assumptions!$B$77+Assumptions!$B$78))+Exit!$B$12*((Assumptions!$B$58*Assumptions!$D$8)/Acquisition!$B$10)),0),0)</f>
        <v>392784.3139315194</v>
      </c>
      <c r="L21" s="111">
        <f>IF(4&lt;=Exit!$B$6,((Assumptions!$D$9)/Assumptions!$B$9)*((1+Assumptions!$D$10)/(1+Assumptions!$B$10))^(4-1)*'Equity Returns'!F5+(((Assumptions!$B$58*Assumptions!$D$8)/Acquisition!$B$10)*(Assumptions!$D$13/Assumptions!$B$13))*'Equity Returns'!F6+IF(AND(Assumptions!$B$67=1,4=(INT((Assumptions!$B$68-1)/12)+1)),((Refinance!$B$11+Refinance!$B$13)*((Assumptions!$D$9)/Assumptions!$B$9)*((1+Assumptions!$D$10)/(1+Assumptions!$B$10))^((INT((Assumptions!$B$68-1)/12)+1)-1)+Refinance!$B$12*((Assumptions!$B$58*Assumptions!$D$8)/Acquisition!$B$10)),0)+IF(4=Exit!$B$6,((Exit!$B$7*((Assumptions!$D$9)/Assumptions!$B$9)*((1+Assumptions!$D$10)/(1+Assumptions!$B$10))^(4-1)/Assumptions!$D$12)*(1-(Assumptions!$B$77+Assumptions!$B$78))+Exit!$B$12*((Assumptions!$B$58*Assumptions!$D$8)/Acquisition!$B$10)),0),0)</f>
        <v>-22096.566025770313</v>
      </c>
      <c r="M21" s="111">
        <f>IF(5&lt;=Exit!$B$6,((Assumptions!$D$9)/Assumptions!$B$9)*((1+Assumptions!$D$10)/(1+Assumptions!$B$10))^(5-1)*'Equity Returns'!G5+(((Assumptions!$B$58*Assumptions!$D$8)/Acquisition!$B$10)*(Assumptions!$D$13/Assumptions!$B$13))*'Equity Returns'!G6+IF(AND(Assumptions!$B$67=1,5=(INT((Assumptions!$B$68-1)/12)+1)),((Refinance!$B$11+Refinance!$B$13)*((Assumptions!$D$9)/Assumptions!$B$9)*((1+Assumptions!$D$10)/(1+Assumptions!$B$10))^((INT((Assumptions!$B$68-1)/12)+1)-1)+Refinance!$B$12*((Assumptions!$B$58*Assumptions!$D$8)/Acquisition!$B$10)),0)+IF(5=Exit!$B$6,((Exit!$B$7*((Assumptions!$D$9)/Assumptions!$B$9)*((1+Assumptions!$D$10)/(1+Assumptions!$B$10))^(5-1)/Assumptions!$D$12)*(1-(Assumptions!$B$77+Assumptions!$B$78))+Exit!$B$12*((Assumptions!$B$58*Assumptions!$D$8)/Acquisition!$B$10)),0),0)</f>
        <v>6879.6730566428596</v>
      </c>
      <c r="N21" s="111">
        <f>IF(6&lt;=Exit!$B$6,((Assumptions!$D$9)/Assumptions!$B$9)*((1+Assumptions!$D$10)/(1+Assumptions!$B$10))^(6-1)*'Equity Returns'!H5+(((Assumptions!$B$58*Assumptions!$D$8)/Acquisition!$B$10)*(Assumptions!$D$13/Assumptions!$B$13))*'Equity Returns'!H6+IF(AND(Assumptions!$B$67=1,6=(INT((Assumptions!$B$68-1)/12)+1)),((Refinance!$B$11+Refinance!$B$13)*((Assumptions!$D$9)/Assumptions!$B$9)*((1+Assumptions!$D$10)/(1+Assumptions!$B$10))^((INT((Assumptions!$B$68-1)/12)+1)-1)+Refinance!$B$12*((Assumptions!$B$58*Assumptions!$D$8)/Acquisition!$B$10)),0)+IF(6=Exit!$B$6,((Exit!$B$7*((Assumptions!$D$9)/Assumptions!$B$9)*((1+Assumptions!$D$10)/(1+Assumptions!$B$10))^(6-1)/Assumptions!$D$12)*(1-(Assumptions!$B$77+Assumptions!$B$78))+Exit!$B$12*((Assumptions!$B$58*Assumptions!$D$8)/Acquisition!$B$10)),0),0)</f>
        <v>0</v>
      </c>
      <c r="O21" s="111">
        <f>IF(7&lt;=Exit!$B$6,((Assumptions!$D$9)/Assumptions!$B$9)*((1+Assumptions!$D$10)/(1+Assumptions!$B$10))^(7-1)*'Equity Returns'!I5+(((Assumptions!$B$58*Assumptions!$D$8)/Acquisition!$B$10)*(Assumptions!$D$13/Assumptions!$B$13))*'Equity Returns'!I6+IF(AND(Assumptions!$B$67=1,7=(INT((Assumptions!$B$68-1)/12)+1)),((Refinance!$B$11+Refinance!$B$13)*((Assumptions!$D$9)/Assumptions!$B$9)*((1+Assumptions!$D$10)/(1+Assumptions!$B$10))^((INT((Assumptions!$B$68-1)/12)+1)-1)+Refinance!$B$12*((Assumptions!$B$58*Assumptions!$D$8)/Acquisition!$B$10)),0)+IF(7=Exit!$B$6,((Exit!$B$7*((Assumptions!$D$9)/Assumptions!$B$9)*((1+Assumptions!$D$10)/(1+Assumptions!$B$10))^(7-1)/Assumptions!$D$12)*(1-(Assumptions!$B$77+Assumptions!$B$78))+Exit!$B$12*((Assumptions!$B$58*Assumptions!$D$8)/Acquisition!$B$10)),0),0)</f>
        <v>0</v>
      </c>
      <c r="P21" s="111">
        <f>IF(8&lt;=Exit!$B$6,((Assumptions!$D$9)/Assumptions!$B$9)*((1+Assumptions!$D$10)/(1+Assumptions!$B$10))^(8-1)*'Equity Returns'!J5+(((Assumptions!$B$58*Assumptions!$D$8)/Acquisition!$B$10)*(Assumptions!$D$13/Assumptions!$B$13))*'Equity Returns'!J6+IF(AND(Assumptions!$B$67=1,8=(INT((Assumptions!$B$68-1)/12)+1)),((Refinance!$B$11+Refinance!$B$13)*((Assumptions!$D$9)/Assumptions!$B$9)*((1+Assumptions!$D$10)/(1+Assumptions!$B$10))^((INT((Assumptions!$B$68-1)/12)+1)-1)+Refinance!$B$12*((Assumptions!$B$58*Assumptions!$D$8)/Acquisition!$B$10)),0)+IF(8=Exit!$B$6,((Exit!$B$7*((Assumptions!$D$9)/Assumptions!$B$9)*((1+Assumptions!$D$10)/(1+Assumptions!$B$10))^(8-1)/Assumptions!$D$12)*(1-(Assumptions!$B$77+Assumptions!$B$78))+Exit!$B$12*((Assumptions!$B$58*Assumptions!$D$8)/Acquisition!$B$10)),0),0)</f>
        <v>0</v>
      </c>
      <c r="Q21" s="111">
        <f>IF(9&lt;=Exit!$B$6,((Assumptions!$D$9)/Assumptions!$B$9)*((1+Assumptions!$D$10)/(1+Assumptions!$B$10))^(9-1)*'Equity Returns'!K5+(((Assumptions!$B$58*Assumptions!$D$8)/Acquisition!$B$10)*(Assumptions!$D$13/Assumptions!$B$13))*'Equity Returns'!K6+IF(AND(Assumptions!$B$67=1,9=(INT((Assumptions!$B$68-1)/12)+1)),((Refinance!$B$11+Refinance!$B$13)*((Assumptions!$D$9)/Assumptions!$B$9)*((1+Assumptions!$D$10)/(1+Assumptions!$B$10))^((INT((Assumptions!$B$68-1)/12)+1)-1)+Refinance!$B$12*((Assumptions!$B$58*Assumptions!$D$8)/Acquisition!$B$10)),0)+IF(9=Exit!$B$6,((Exit!$B$7*((Assumptions!$D$9)/Assumptions!$B$9)*((1+Assumptions!$D$10)/(1+Assumptions!$B$10))^(9-1)/Assumptions!$D$12)*(1-(Assumptions!$B$77+Assumptions!$B$78))+Exit!$B$12*((Assumptions!$B$58*Assumptions!$D$8)/Acquisition!$B$10)),0),0)</f>
        <v>0</v>
      </c>
      <c r="R21" s="111">
        <f>IF(10&lt;=Exit!$B$6,((Assumptions!$D$9)/Assumptions!$B$9)*((1+Assumptions!$D$10)/(1+Assumptions!$B$10))^(10-1)*'Equity Returns'!L5+(((Assumptions!$B$58*Assumptions!$D$8)/Acquisition!$B$10)*(Assumptions!$D$13/Assumptions!$B$13))*'Equity Returns'!L6+IF(AND(Assumptions!$B$67=1,10=(INT((Assumptions!$B$68-1)/12)+1)),((Refinance!$B$11+Refinance!$B$13)*((Assumptions!$D$9)/Assumptions!$B$9)*((1+Assumptions!$D$10)/(1+Assumptions!$B$10))^((INT((Assumptions!$B$68-1)/12)+1)-1)+Refinance!$B$12*((Assumptions!$B$58*Assumptions!$D$8)/Acquisition!$B$10)),0)+IF(10=Exit!$B$6,((Exit!$B$7*((Assumptions!$D$9)/Assumptions!$B$9)*((1+Assumptions!$D$10)/(1+Assumptions!$B$10))^(10-1)/Assumptions!$D$12)*(1-(Assumptions!$B$77+Assumptions!$B$78))+Exit!$B$12*((Assumptions!$B$58*Assumptions!$D$8)/Acquisition!$B$10)),0),0)</f>
        <v>0</v>
      </c>
    </row>
    <row r="22" spans="1:18" x14ac:dyDescent="0.25">
      <c r="G22" s="110" t="s">
        <v>445</v>
      </c>
      <c r="H22" s="111">
        <f>-(Assumptions!$E$8*(1+Assumptions!$B$65)+Assumptions!$B$62*(Assumptions!$B$58*Assumptions!$E$8)+Assumptions!$B$56-(Assumptions!$B$58*Assumptions!$E$8))</f>
        <v>-600100</v>
      </c>
      <c r="I22" s="111">
        <f>IF(1&lt;=Exit!$B$6,((Assumptions!$E$9)/Assumptions!$B$9)*((1+Assumptions!$E$10)/(1+Assumptions!$B$10))^(1-1)*'Equity Returns'!C5+(((Assumptions!$B$58*Assumptions!$E$8)/Acquisition!$B$10)*(Assumptions!$E$13/Assumptions!$B$13))*'Equity Returns'!C6+IF(AND(Assumptions!$B$67=1,1=(INT((Assumptions!$B$68-1)/12)+1)),((Refinance!$B$11+Refinance!$B$13)*((Assumptions!$E$9)/Assumptions!$B$9)*((1+Assumptions!$E$10)/(1+Assumptions!$B$10))^((INT((Assumptions!$B$68-1)/12)+1)-1)+Refinance!$B$12*((Assumptions!$B$58*Assumptions!$E$8)/Acquisition!$B$10)),0)+IF(1=Exit!$B$6,((Exit!$B$7*((Assumptions!$E$9)/Assumptions!$B$9)*((1+Assumptions!$E$10)/(1+Assumptions!$B$10))^(1-1)/Assumptions!$E$12)*(1-(Assumptions!$B$77+Assumptions!$B$78))+Exit!$B$12*((Assumptions!$B$58*Assumptions!$E$8)/Acquisition!$B$10)),0),0)</f>
        <v>22074.913333333323</v>
      </c>
      <c r="J22" s="111">
        <f>IF(2&lt;=Exit!$B$6,((Assumptions!$E$9)/Assumptions!$B$9)*((1+Assumptions!$E$10)/(1+Assumptions!$B$10))^(2-1)*'Equity Returns'!D5+(((Assumptions!$B$58*Assumptions!$E$8)/Acquisition!$B$10)*(Assumptions!$E$13/Assumptions!$B$13))*'Equity Returns'!D6+IF(AND(Assumptions!$B$67=1,2=(INT((Assumptions!$B$68-1)/12)+1)),((Refinance!$B$11+Refinance!$B$13)*((Assumptions!$E$9)/Assumptions!$B$9)*((1+Assumptions!$E$10)/(1+Assumptions!$B$10))^((INT((Assumptions!$B$68-1)/12)+1)-1)+Refinance!$B$12*((Assumptions!$B$58*Assumptions!$E$8)/Acquisition!$B$10)),0)+IF(2=Exit!$B$6,((Exit!$B$7*((Assumptions!$E$9)/Assumptions!$B$9)*((1+Assumptions!$E$10)/(1+Assumptions!$B$10))^(2-1)/Assumptions!$E$12)*(1-(Assumptions!$B$77+Assumptions!$B$78))+Exit!$B$12*((Assumptions!$B$58*Assumptions!$E$8)/Acquisition!$B$10)),0),0)</f>
        <v>60285.637633333397</v>
      </c>
      <c r="K22" s="111">
        <f>IF(3&lt;=Exit!$B$6,((Assumptions!$E$9)/Assumptions!$B$9)*((1+Assumptions!$E$10)/(1+Assumptions!$B$10))^(3-1)*'Equity Returns'!E5+(((Assumptions!$B$58*Assumptions!$E$8)/Acquisition!$B$10)*(Assumptions!$E$13/Assumptions!$B$13))*'Equity Returns'!E6+IF(AND(Assumptions!$B$67=1,3=(INT((Assumptions!$B$68-1)/12)+1)),((Refinance!$B$11+Refinance!$B$13)*((Assumptions!$E$9)/Assumptions!$B$9)*((1+Assumptions!$E$10)/(1+Assumptions!$B$10))^((INT((Assumptions!$B$68-1)/12)+1)-1)+Refinance!$B$12*((Assumptions!$B$58*Assumptions!$E$8)/Acquisition!$B$10)),0)+IF(3=Exit!$B$6,((Exit!$B$7*((Assumptions!$E$9)/Assumptions!$B$9)*((1+Assumptions!$E$10)/(1+Assumptions!$B$10))^(3-1)/Assumptions!$E$12)*(1-(Assumptions!$B$77+Assumptions!$B$78))+Exit!$B$12*((Assumptions!$B$58*Assumptions!$E$8)/Acquisition!$B$10)),0),0)</f>
        <v>672056.06603976048</v>
      </c>
      <c r="L22" s="111">
        <f>IF(4&lt;=Exit!$B$6,((Assumptions!$E$9)/Assumptions!$B$9)*((1+Assumptions!$E$10)/(1+Assumptions!$B$10))^(4-1)*'Equity Returns'!F5+(((Assumptions!$B$58*Assumptions!$E$8)/Acquisition!$B$10)*(Assumptions!$E$13/Assumptions!$B$13))*'Equity Returns'!F6+IF(AND(Assumptions!$B$67=1,4=(INT((Assumptions!$B$68-1)/12)+1)),((Refinance!$B$11+Refinance!$B$13)*((Assumptions!$E$9)/Assumptions!$B$9)*((1+Assumptions!$E$10)/(1+Assumptions!$B$10))^((INT((Assumptions!$B$68-1)/12)+1)-1)+Refinance!$B$12*((Assumptions!$B$58*Assumptions!$E$8)/Acquisition!$B$10)),0)+IF(4=Exit!$B$6,((Exit!$B$7*((Assumptions!$E$9)/Assumptions!$B$9)*((1+Assumptions!$E$10)/(1+Assumptions!$B$10))^(4-1)/Assumptions!$E$12)*(1-(Assumptions!$B$77+Assumptions!$B$78))+Exit!$B$12*((Assumptions!$B$58*Assumptions!$E$8)/Acquisition!$B$10)),0),0)</f>
        <v>23248.685451384037</v>
      </c>
      <c r="M22" s="111">
        <f>IF(5&lt;=Exit!$B$6,((Assumptions!$E$9)/Assumptions!$B$9)*((1+Assumptions!$E$10)/(1+Assumptions!$B$10))^(5-1)*'Equity Returns'!G5+(((Assumptions!$B$58*Assumptions!$E$8)/Acquisition!$B$10)*(Assumptions!$E$13/Assumptions!$B$13))*'Equity Returns'!G6+IF(AND(Assumptions!$B$67=1,5=(INT((Assumptions!$B$68-1)/12)+1)),((Refinance!$B$11+Refinance!$B$13)*((Assumptions!$E$9)/Assumptions!$B$9)*((1+Assumptions!$E$10)/(1+Assumptions!$B$10))^((INT((Assumptions!$B$68-1)/12)+1)-1)+Refinance!$B$12*((Assumptions!$B$58*Assumptions!$E$8)/Acquisition!$B$10)),0)+IF(5=Exit!$B$6,((Exit!$B$7*((Assumptions!$E$9)/Assumptions!$B$9)*((1+Assumptions!$E$10)/(1+Assumptions!$B$10))^(5-1)/Assumptions!$E$12)*(1-(Assumptions!$B$77+Assumptions!$B$78))+Exit!$B$12*((Assumptions!$B$58*Assumptions!$E$8)/Acquisition!$B$10)),0),0)</f>
        <v>730404.84834105056</v>
      </c>
      <c r="N22" s="111">
        <f>IF(6&lt;=Exit!$B$6,((Assumptions!$E$9)/Assumptions!$B$9)*((1+Assumptions!$E$10)/(1+Assumptions!$B$10))^(6-1)*'Equity Returns'!H5+(((Assumptions!$B$58*Assumptions!$E$8)/Acquisition!$B$10)*(Assumptions!$E$13/Assumptions!$B$13))*'Equity Returns'!H6+IF(AND(Assumptions!$B$67=1,6=(INT((Assumptions!$B$68-1)/12)+1)),((Refinance!$B$11+Refinance!$B$13)*((Assumptions!$E$9)/Assumptions!$B$9)*((1+Assumptions!$E$10)/(1+Assumptions!$B$10))^((INT((Assumptions!$B$68-1)/12)+1)-1)+Refinance!$B$12*((Assumptions!$B$58*Assumptions!$E$8)/Acquisition!$B$10)),0)+IF(6=Exit!$B$6,((Exit!$B$7*((Assumptions!$E$9)/Assumptions!$B$9)*((1+Assumptions!$E$10)/(1+Assumptions!$B$10))^(6-1)/Assumptions!$E$12)*(1-(Assumptions!$B$77+Assumptions!$B$78))+Exit!$B$12*((Assumptions!$B$58*Assumptions!$E$8)/Acquisition!$B$10)),0),0)</f>
        <v>0</v>
      </c>
      <c r="O22" s="111">
        <f>IF(7&lt;=Exit!$B$6,((Assumptions!$E$9)/Assumptions!$B$9)*((1+Assumptions!$E$10)/(1+Assumptions!$B$10))^(7-1)*'Equity Returns'!I5+(((Assumptions!$B$58*Assumptions!$E$8)/Acquisition!$B$10)*(Assumptions!$E$13/Assumptions!$B$13))*'Equity Returns'!I6+IF(AND(Assumptions!$B$67=1,7=(INT((Assumptions!$B$68-1)/12)+1)),((Refinance!$B$11+Refinance!$B$13)*((Assumptions!$E$9)/Assumptions!$B$9)*((1+Assumptions!$E$10)/(1+Assumptions!$B$10))^((INT((Assumptions!$B$68-1)/12)+1)-1)+Refinance!$B$12*((Assumptions!$B$58*Assumptions!$E$8)/Acquisition!$B$10)),0)+IF(7=Exit!$B$6,((Exit!$B$7*((Assumptions!$E$9)/Assumptions!$B$9)*((1+Assumptions!$E$10)/(1+Assumptions!$B$10))^(7-1)/Assumptions!$E$12)*(1-(Assumptions!$B$77+Assumptions!$B$78))+Exit!$B$12*((Assumptions!$B$58*Assumptions!$E$8)/Acquisition!$B$10)),0),0)</f>
        <v>0</v>
      </c>
      <c r="P22" s="111">
        <f>IF(8&lt;=Exit!$B$6,((Assumptions!$E$9)/Assumptions!$B$9)*((1+Assumptions!$E$10)/(1+Assumptions!$B$10))^(8-1)*'Equity Returns'!J5+(((Assumptions!$B$58*Assumptions!$E$8)/Acquisition!$B$10)*(Assumptions!$E$13/Assumptions!$B$13))*'Equity Returns'!J6+IF(AND(Assumptions!$B$67=1,8=(INT((Assumptions!$B$68-1)/12)+1)),((Refinance!$B$11+Refinance!$B$13)*((Assumptions!$E$9)/Assumptions!$B$9)*((1+Assumptions!$E$10)/(1+Assumptions!$B$10))^((INT((Assumptions!$B$68-1)/12)+1)-1)+Refinance!$B$12*((Assumptions!$B$58*Assumptions!$E$8)/Acquisition!$B$10)),0)+IF(8=Exit!$B$6,((Exit!$B$7*((Assumptions!$E$9)/Assumptions!$B$9)*((1+Assumptions!$E$10)/(1+Assumptions!$B$10))^(8-1)/Assumptions!$E$12)*(1-(Assumptions!$B$77+Assumptions!$B$78))+Exit!$B$12*((Assumptions!$B$58*Assumptions!$E$8)/Acquisition!$B$10)),0),0)</f>
        <v>0</v>
      </c>
      <c r="Q22" s="111">
        <f>IF(9&lt;=Exit!$B$6,((Assumptions!$E$9)/Assumptions!$B$9)*((1+Assumptions!$E$10)/(1+Assumptions!$B$10))^(9-1)*'Equity Returns'!K5+(((Assumptions!$B$58*Assumptions!$E$8)/Acquisition!$B$10)*(Assumptions!$E$13/Assumptions!$B$13))*'Equity Returns'!K6+IF(AND(Assumptions!$B$67=1,9=(INT((Assumptions!$B$68-1)/12)+1)),((Refinance!$B$11+Refinance!$B$13)*((Assumptions!$E$9)/Assumptions!$B$9)*((1+Assumptions!$E$10)/(1+Assumptions!$B$10))^((INT((Assumptions!$B$68-1)/12)+1)-1)+Refinance!$B$12*((Assumptions!$B$58*Assumptions!$E$8)/Acquisition!$B$10)),0)+IF(9=Exit!$B$6,((Exit!$B$7*((Assumptions!$E$9)/Assumptions!$B$9)*((1+Assumptions!$E$10)/(1+Assumptions!$B$10))^(9-1)/Assumptions!$E$12)*(1-(Assumptions!$B$77+Assumptions!$B$78))+Exit!$B$12*((Assumptions!$B$58*Assumptions!$E$8)/Acquisition!$B$10)),0),0)</f>
        <v>0</v>
      </c>
      <c r="R22" s="111">
        <f>IF(10&lt;=Exit!$B$6,((Assumptions!$E$9)/Assumptions!$B$9)*((1+Assumptions!$E$10)/(1+Assumptions!$B$10))^(10-1)*'Equity Returns'!L5+(((Assumptions!$B$58*Assumptions!$E$8)/Acquisition!$B$10)*(Assumptions!$E$13/Assumptions!$B$13))*'Equity Returns'!L6+IF(AND(Assumptions!$B$67=1,10=(INT((Assumptions!$B$68-1)/12)+1)),((Refinance!$B$11+Refinance!$B$13)*((Assumptions!$E$9)/Assumptions!$B$9)*((1+Assumptions!$E$10)/(1+Assumptions!$B$10))^((INT((Assumptions!$B$68-1)/12)+1)-1)+Refinance!$B$12*((Assumptions!$B$58*Assumptions!$E$8)/Acquisition!$B$10)),0)+IF(10=Exit!$B$6,((Exit!$B$7*((Assumptions!$E$9)/Assumptions!$B$9)*((1+Assumptions!$E$10)/(1+Assumptions!$B$10))^(10-1)/Assumptions!$E$12)*(1-(Assumptions!$B$77+Assumptions!$B$78))+Exit!$B$12*((Assumptions!$B$58*Assumptions!$E$8)/Acquisition!$B$10)),0),0)</f>
        <v>0</v>
      </c>
    </row>
    <row r="23" spans="1:18" x14ac:dyDescent="0.25">
      <c r="G23" s="110" t="s">
        <v>446</v>
      </c>
      <c r="H23" s="111">
        <f>-(Assumptions!$F$8*(1+Assumptions!$B$65)+Assumptions!$B$62*(Assumptions!$B$58*Assumptions!$F$8)+Assumptions!$B$56-(Assumptions!$B$58*Assumptions!$F$8))</f>
        <v>-567400</v>
      </c>
      <c r="I23" s="111">
        <f>IF(1&lt;=Exit!$B$6,((Assumptions!$F$9)/Assumptions!$B$9)*((1+Assumptions!$F$10)/(1+Assumptions!$B$10))^(1-1)*'Equity Returns'!C5+(((Assumptions!$B$58*Assumptions!$F$8)/Acquisition!$B$10)*(Assumptions!$F$13/Assumptions!$B$13))*'Equity Returns'!C6+IF(AND(Assumptions!$B$67=1,1=(INT((Assumptions!$B$68-1)/12)+1)),((Refinance!$B$11+Refinance!$B$13)*((Assumptions!$F$9)/Assumptions!$B$9)*((1+Assumptions!$F$10)/(1+Assumptions!$B$10))^((INT((Assumptions!$B$68-1)/12)+1)-1)+Refinance!$B$12*((Assumptions!$B$58*Assumptions!$F$8)/Acquisition!$B$10)),0)+IF(1=Exit!$B$6,((Exit!$B$7*((Assumptions!$F$9)/Assumptions!$B$9)*((1+Assumptions!$F$10)/(1+Assumptions!$B$10))^(1-1)/Assumptions!$F$12)*(1-(Assumptions!$B$77+Assumptions!$B$78))+Exit!$B$12*((Assumptions!$B$58*Assumptions!$F$8)/Acquisition!$B$10)),0),0)</f>
        <v>33473.551811594189</v>
      </c>
      <c r="J23" s="111">
        <f>IF(2&lt;=Exit!$B$6,((Assumptions!$F$9)/Assumptions!$B$9)*((1+Assumptions!$F$10)/(1+Assumptions!$B$10))^(2-1)*'Equity Returns'!D5+(((Assumptions!$B$58*Assumptions!$F$8)/Acquisition!$B$10)*(Assumptions!$F$13/Assumptions!$B$13))*'Equity Returns'!D6+IF(AND(Assumptions!$B$67=1,2=(INT((Assumptions!$B$68-1)/12)+1)),((Refinance!$B$11+Refinance!$B$13)*((Assumptions!$F$9)/Assumptions!$B$9)*((1+Assumptions!$F$10)/(1+Assumptions!$B$10))^((INT((Assumptions!$B$68-1)/12)+1)-1)+Refinance!$B$12*((Assumptions!$B$58*Assumptions!$F$8)/Acquisition!$B$10)),0)+IF(2=Exit!$B$6,((Exit!$B$7*((Assumptions!$F$9)/Assumptions!$B$9)*((1+Assumptions!$F$10)/(1+Assumptions!$B$10))^(2-1)/Assumptions!$F$12)*(1-(Assumptions!$B$77+Assumptions!$B$78))+Exit!$B$12*((Assumptions!$B$58*Assumptions!$F$8)/Acquisition!$B$10)),0),0)</f>
        <v>74127.659330659983</v>
      </c>
      <c r="K23" s="111">
        <f>IF(3&lt;=Exit!$B$6,((Assumptions!$F$9)/Assumptions!$B$9)*((1+Assumptions!$F$10)/(1+Assumptions!$B$10))^(3-1)*'Equity Returns'!E5+(((Assumptions!$B$58*Assumptions!$F$8)/Acquisition!$B$10)*(Assumptions!$F$13/Assumptions!$B$13))*'Equity Returns'!E6+IF(AND(Assumptions!$B$67=1,3=(INT((Assumptions!$B$68-1)/12)+1)),((Refinance!$B$11+Refinance!$B$13)*((Assumptions!$F$9)/Assumptions!$B$9)*((1+Assumptions!$F$10)/(1+Assumptions!$B$10))^((INT((Assumptions!$B$68-1)/12)+1)-1)+Refinance!$B$12*((Assumptions!$B$58*Assumptions!$F$8)/Acquisition!$B$10)),0)+IF(3=Exit!$B$6,((Exit!$B$7*((Assumptions!$F$9)/Assumptions!$B$9)*((1+Assumptions!$F$10)/(1+Assumptions!$B$10))^(3-1)/Assumptions!$F$12)*(1-(Assumptions!$B$77+Assumptions!$B$78))+Exit!$B$12*((Assumptions!$B$58*Assumptions!$F$8)/Acquisition!$B$10)),0),0)</f>
        <v>838855.06360091071</v>
      </c>
      <c r="L23" s="111">
        <f>IF(4&lt;=Exit!$B$6,((Assumptions!$F$9)/Assumptions!$B$9)*((1+Assumptions!$F$10)/(1+Assumptions!$B$10))^(4-1)*'Equity Returns'!F5+(((Assumptions!$B$58*Assumptions!$F$8)/Acquisition!$B$10)*(Assumptions!$F$13/Assumptions!$B$13))*'Equity Returns'!F6+IF(AND(Assumptions!$B$67=1,4=(INT((Assumptions!$B$68-1)/12)+1)),((Refinance!$B$11+Refinance!$B$13)*((Assumptions!$F$9)/Assumptions!$B$9)*((1+Assumptions!$F$10)/(1+Assumptions!$B$10))^((INT((Assumptions!$B$68-1)/12)+1)-1)+Refinance!$B$12*((Assumptions!$B$58*Assumptions!$F$8)/Acquisition!$B$10)),0)+IF(4=Exit!$B$6,((Exit!$B$7*((Assumptions!$F$9)/Assumptions!$B$9)*((1+Assumptions!$F$10)/(1+Assumptions!$B$10))^(4-1)/Assumptions!$F$12)*(1-(Assumptions!$B$77+Assumptions!$B$78))+Exit!$B$12*((Assumptions!$B$58*Assumptions!$F$8)/Acquisition!$B$10)),0),0)</f>
        <v>47960.012389432493</v>
      </c>
      <c r="M23" s="111">
        <f>IF(5&lt;=Exit!$B$6,((Assumptions!$F$9)/Assumptions!$B$9)*((1+Assumptions!$F$10)/(1+Assumptions!$B$10))^(5-1)*'Equity Returns'!G5+(((Assumptions!$B$58*Assumptions!$F$8)/Acquisition!$B$10)*(Assumptions!$F$13/Assumptions!$B$13))*'Equity Returns'!G6+IF(AND(Assumptions!$B$67=1,5=(INT((Assumptions!$B$68-1)/12)+1)),((Refinance!$B$11+Refinance!$B$13)*((Assumptions!$F$9)/Assumptions!$B$9)*((1+Assumptions!$F$10)/(1+Assumptions!$B$10))^((INT((Assumptions!$B$68-1)/12)+1)-1)+Refinance!$B$12*((Assumptions!$B$58*Assumptions!$F$8)/Acquisition!$B$10)),0)+IF(5=Exit!$B$6,((Exit!$B$7*((Assumptions!$F$9)/Assumptions!$B$9)*((1+Assumptions!$F$10)/(1+Assumptions!$B$10))^(5-1)/Assumptions!$F$12)*(1-(Assumptions!$B$77+Assumptions!$B$78))+Exit!$B$12*((Assumptions!$B$58*Assumptions!$F$8)/Acquisition!$B$10)),0),0)</f>
        <v>1228580.244273934</v>
      </c>
      <c r="N23" s="111">
        <f>IF(6&lt;=Exit!$B$6,((Assumptions!$F$9)/Assumptions!$B$9)*((1+Assumptions!$F$10)/(1+Assumptions!$B$10))^(6-1)*'Equity Returns'!H5+(((Assumptions!$B$58*Assumptions!$F$8)/Acquisition!$B$10)*(Assumptions!$F$13/Assumptions!$B$13))*'Equity Returns'!H6+IF(AND(Assumptions!$B$67=1,6=(INT((Assumptions!$B$68-1)/12)+1)),((Refinance!$B$11+Refinance!$B$13)*((Assumptions!$F$9)/Assumptions!$B$9)*((1+Assumptions!$F$10)/(1+Assumptions!$B$10))^((INT((Assumptions!$B$68-1)/12)+1)-1)+Refinance!$B$12*((Assumptions!$B$58*Assumptions!$F$8)/Acquisition!$B$10)),0)+IF(6=Exit!$B$6,((Exit!$B$7*((Assumptions!$F$9)/Assumptions!$B$9)*((1+Assumptions!$F$10)/(1+Assumptions!$B$10))^(6-1)/Assumptions!$F$12)*(1-(Assumptions!$B$77+Assumptions!$B$78))+Exit!$B$12*((Assumptions!$B$58*Assumptions!$F$8)/Acquisition!$B$10)),0),0)</f>
        <v>0</v>
      </c>
      <c r="O23" s="111">
        <f>IF(7&lt;=Exit!$B$6,((Assumptions!$F$9)/Assumptions!$B$9)*((1+Assumptions!$F$10)/(1+Assumptions!$B$10))^(7-1)*'Equity Returns'!I5+(((Assumptions!$B$58*Assumptions!$F$8)/Acquisition!$B$10)*(Assumptions!$F$13/Assumptions!$B$13))*'Equity Returns'!I6+IF(AND(Assumptions!$B$67=1,7=(INT((Assumptions!$B$68-1)/12)+1)),((Refinance!$B$11+Refinance!$B$13)*((Assumptions!$F$9)/Assumptions!$B$9)*((1+Assumptions!$F$10)/(1+Assumptions!$B$10))^((INT((Assumptions!$B$68-1)/12)+1)-1)+Refinance!$B$12*((Assumptions!$B$58*Assumptions!$F$8)/Acquisition!$B$10)),0)+IF(7=Exit!$B$6,((Exit!$B$7*((Assumptions!$F$9)/Assumptions!$B$9)*((1+Assumptions!$F$10)/(1+Assumptions!$B$10))^(7-1)/Assumptions!$F$12)*(1-(Assumptions!$B$77+Assumptions!$B$78))+Exit!$B$12*((Assumptions!$B$58*Assumptions!$F$8)/Acquisition!$B$10)),0),0)</f>
        <v>0</v>
      </c>
      <c r="P23" s="111">
        <f>IF(8&lt;=Exit!$B$6,((Assumptions!$F$9)/Assumptions!$B$9)*((1+Assumptions!$F$10)/(1+Assumptions!$B$10))^(8-1)*'Equity Returns'!J5+(((Assumptions!$B$58*Assumptions!$F$8)/Acquisition!$B$10)*(Assumptions!$F$13/Assumptions!$B$13))*'Equity Returns'!J6+IF(AND(Assumptions!$B$67=1,8=(INT((Assumptions!$B$68-1)/12)+1)),((Refinance!$B$11+Refinance!$B$13)*((Assumptions!$F$9)/Assumptions!$B$9)*((1+Assumptions!$F$10)/(1+Assumptions!$B$10))^((INT((Assumptions!$B$68-1)/12)+1)-1)+Refinance!$B$12*((Assumptions!$B$58*Assumptions!$F$8)/Acquisition!$B$10)),0)+IF(8=Exit!$B$6,((Exit!$B$7*((Assumptions!$F$9)/Assumptions!$B$9)*((1+Assumptions!$F$10)/(1+Assumptions!$B$10))^(8-1)/Assumptions!$F$12)*(1-(Assumptions!$B$77+Assumptions!$B$78))+Exit!$B$12*((Assumptions!$B$58*Assumptions!$F$8)/Acquisition!$B$10)),0),0)</f>
        <v>0</v>
      </c>
      <c r="Q23" s="111">
        <f>IF(9&lt;=Exit!$B$6,((Assumptions!$F$9)/Assumptions!$B$9)*((1+Assumptions!$F$10)/(1+Assumptions!$B$10))^(9-1)*'Equity Returns'!K5+(((Assumptions!$B$58*Assumptions!$F$8)/Acquisition!$B$10)*(Assumptions!$F$13/Assumptions!$B$13))*'Equity Returns'!K6+IF(AND(Assumptions!$B$67=1,9=(INT((Assumptions!$B$68-1)/12)+1)),((Refinance!$B$11+Refinance!$B$13)*((Assumptions!$F$9)/Assumptions!$B$9)*((1+Assumptions!$F$10)/(1+Assumptions!$B$10))^((INT((Assumptions!$B$68-1)/12)+1)-1)+Refinance!$B$12*((Assumptions!$B$58*Assumptions!$F$8)/Acquisition!$B$10)),0)+IF(9=Exit!$B$6,((Exit!$B$7*((Assumptions!$F$9)/Assumptions!$B$9)*((1+Assumptions!$F$10)/(1+Assumptions!$B$10))^(9-1)/Assumptions!$F$12)*(1-(Assumptions!$B$77+Assumptions!$B$78))+Exit!$B$12*((Assumptions!$B$58*Assumptions!$F$8)/Acquisition!$B$10)),0),0)</f>
        <v>0</v>
      </c>
      <c r="R23" s="111">
        <f>IF(10&lt;=Exit!$B$6,((Assumptions!$F$9)/Assumptions!$B$9)*((1+Assumptions!$F$10)/(1+Assumptions!$B$10))^(10-1)*'Equity Returns'!L5+(((Assumptions!$B$58*Assumptions!$F$8)/Acquisition!$B$10)*(Assumptions!$F$13/Assumptions!$B$13))*'Equity Returns'!L6+IF(AND(Assumptions!$B$67=1,10=(INT((Assumptions!$B$68-1)/12)+1)),((Refinance!$B$11+Refinance!$B$13)*((Assumptions!$F$9)/Assumptions!$B$9)*((1+Assumptions!$F$10)/(1+Assumptions!$B$10))^((INT((Assumptions!$B$68-1)/12)+1)-1)+Refinance!$B$12*((Assumptions!$B$58*Assumptions!$F$8)/Acquisition!$B$10)),0)+IF(10=Exit!$B$6,((Exit!$B$7*((Assumptions!$F$9)/Assumptions!$B$9)*((1+Assumptions!$F$10)/(1+Assumptions!$B$10))^(10-1)/Assumptions!$F$12)*(1-(Assumptions!$B$77+Assumptions!$B$78))+Exit!$B$12*((Assumptions!$B$58*Assumptions!$F$8)/Acquisition!$B$10)),0),0)</f>
        <v>0</v>
      </c>
    </row>
  </sheetData>
  <mergeCells count="4">
    <mergeCell ref="A1:F1"/>
    <mergeCell ref="A2:F2"/>
    <mergeCell ref="A4:D4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2" customWidth="1"/>
    <col min="2" max="2" width="18" customWidth="1"/>
    <col min="4" max="4" width="32" customWidth="1"/>
    <col min="5" max="5" width="18" customWidth="1"/>
  </cols>
  <sheetData>
    <row r="1" spans="1:6" ht="24" customHeight="1" x14ac:dyDescent="0.25">
      <c r="A1" s="141" t="s">
        <v>453</v>
      </c>
      <c r="B1" s="141"/>
      <c r="C1" s="141"/>
      <c r="D1" s="141"/>
      <c r="E1" s="141"/>
      <c r="F1" s="141"/>
    </row>
    <row r="2" spans="1:6" ht="13.5" customHeight="1" x14ac:dyDescent="0.25">
      <c r="A2" s="142" t="s">
        <v>454</v>
      </c>
      <c r="B2" s="142"/>
      <c r="C2" s="142"/>
      <c r="D2" s="142"/>
      <c r="E2" s="142"/>
      <c r="F2" s="142"/>
    </row>
    <row r="4" spans="1:6" x14ac:dyDescent="0.25">
      <c r="A4" s="143" t="s">
        <v>455</v>
      </c>
      <c r="B4" s="143"/>
      <c r="D4" s="143" t="s">
        <v>456</v>
      </c>
      <c r="E4" s="143"/>
    </row>
    <row r="5" spans="1:6" x14ac:dyDescent="0.25">
      <c r="A5" s="1" t="s">
        <v>457</v>
      </c>
      <c r="B5" s="112" t="s">
        <v>458</v>
      </c>
      <c r="D5" s="14" t="s">
        <v>459</v>
      </c>
      <c r="E5" s="6">
        <f>Assumptions!$B$8</f>
        <v>1300000</v>
      </c>
    </row>
    <row r="6" spans="1:6" x14ac:dyDescent="0.25">
      <c r="A6" s="1" t="s">
        <v>460</v>
      </c>
      <c r="B6" s="112" t="s">
        <v>461</v>
      </c>
      <c r="D6" s="1" t="s">
        <v>4</v>
      </c>
      <c r="E6" s="35">
        <f>Valuation!B17</f>
        <v>16250</v>
      </c>
    </row>
    <row r="7" spans="1:6" x14ac:dyDescent="0.25">
      <c r="A7" s="1" t="s">
        <v>5</v>
      </c>
      <c r="B7" s="27">
        <f>Assumptions!$B$16</f>
        <v>80</v>
      </c>
      <c r="D7" s="14" t="s">
        <v>8</v>
      </c>
      <c r="E7" s="5">
        <f>Valuation!B15</f>
        <v>6.5557625641025644E-2</v>
      </c>
    </row>
    <row r="8" spans="1:6" x14ac:dyDescent="0.25">
      <c r="A8" s="1" t="s">
        <v>462</v>
      </c>
      <c r="B8" s="27">
        <f>Assumptions!$B$19</f>
        <v>10</v>
      </c>
      <c r="D8" s="1" t="s">
        <v>9</v>
      </c>
      <c r="E8" s="35">
        <f>Valuation!B14</f>
        <v>85224.91333333333</v>
      </c>
    </row>
    <row r="9" spans="1:6" x14ac:dyDescent="0.25">
      <c r="A9" s="1" t="s">
        <v>6</v>
      </c>
      <c r="B9" s="113">
        <f>Assumptions!$B$17/Assumptions!$B$16</f>
        <v>0.75</v>
      </c>
      <c r="D9" s="1" t="s">
        <v>10</v>
      </c>
      <c r="E9" s="35">
        <f>Valuation!B16</f>
        <v>132685.85026400004</v>
      </c>
    </row>
    <row r="10" spans="1:6" x14ac:dyDescent="0.25">
      <c r="A10" s="1" t="s">
        <v>7</v>
      </c>
      <c r="B10" s="113">
        <f>Assumptions!$B$9</f>
        <v>0.92</v>
      </c>
      <c r="D10" s="1" t="s">
        <v>463</v>
      </c>
      <c r="E10" s="113">
        <f>IFERROR(Valuation!B16/Assumptions!$B$8,0)</f>
        <v>0.10206603866461542</v>
      </c>
    </row>
    <row r="11" spans="1:6" x14ac:dyDescent="0.25">
      <c r="A11" s="1" t="s">
        <v>464</v>
      </c>
      <c r="B11" s="35">
        <f>Assumptions!$B$23</f>
        <v>350</v>
      </c>
      <c r="D11" s="1" t="s">
        <v>465</v>
      </c>
      <c r="E11" s="35">
        <f>IFERROR(Valuation!B16/Assumptions!$B$12,0)</f>
        <v>2041320.7732923082</v>
      </c>
    </row>
    <row r="12" spans="1:6" x14ac:dyDescent="0.25">
      <c r="A12" s="1" t="s">
        <v>466</v>
      </c>
      <c r="B12" s="35">
        <f>Assumptions!$B$24</f>
        <v>425</v>
      </c>
      <c r="D12" s="1" t="s">
        <v>467</v>
      </c>
      <c r="E12" s="113">
        <f>IFERROR(Assumptions!$B$24/Assumptions!$B$23-1,0)</f>
        <v>0.21428571428571419</v>
      </c>
    </row>
    <row r="14" spans="1:6" x14ac:dyDescent="0.25">
      <c r="A14" s="143" t="s">
        <v>468</v>
      </c>
      <c r="B14" s="143"/>
      <c r="C14" s="143"/>
      <c r="D14" s="143"/>
      <c r="E14" s="143"/>
    </row>
    <row r="15" spans="1:6" x14ac:dyDescent="0.25">
      <c r="A15" s="1" t="s">
        <v>360</v>
      </c>
      <c r="B15" s="35">
        <f>Valuation!E5</f>
        <v>392925.23712000001</v>
      </c>
      <c r="D15" s="1" t="s">
        <v>469</v>
      </c>
      <c r="E15" s="113">
        <f>IFERROR(-Valuation!E6/Valuation!E5,0)</f>
        <v>0.66231273094968557</v>
      </c>
    </row>
    <row r="16" spans="1:6" x14ac:dyDescent="0.25">
      <c r="A16" s="1" t="s">
        <v>470</v>
      </c>
      <c r="B16" s="35">
        <f>Valuation!E6</f>
        <v>-260239.38685599997</v>
      </c>
      <c r="D16" s="1" t="s">
        <v>301</v>
      </c>
      <c r="E16" s="113">
        <f>IFERROR(Valuation!E7/Valuation!E5,0)</f>
        <v>0.33768726905031443</v>
      </c>
    </row>
    <row r="17" spans="1:5" x14ac:dyDescent="0.25">
      <c r="A17" s="14" t="s">
        <v>471</v>
      </c>
      <c r="B17" s="114">
        <f>Valuation!E7</f>
        <v>132685.85026400004</v>
      </c>
      <c r="D17" s="14" t="s">
        <v>472</v>
      </c>
      <c r="E17" s="5">
        <f>'Equity Returns'!B16</f>
        <v>0.27741656061743103</v>
      </c>
    </row>
  </sheetData>
  <mergeCells count="5">
    <mergeCell ref="A1:F1"/>
    <mergeCell ref="A2:F2"/>
    <mergeCell ref="A4:B4"/>
    <mergeCell ref="D4:E4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zoomScaleNormal="100" workbookViewId="0">
      <selection activeCell="A11" sqref="A11"/>
    </sheetView>
  </sheetViews>
  <sheetFormatPr defaultColWidth="8.7109375" defaultRowHeight="15" x14ac:dyDescent="0.25"/>
  <cols>
    <col min="1" max="1" width="44" customWidth="1"/>
    <col min="2" max="2" width="16" customWidth="1"/>
    <col min="3" max="3" width="12" customWidth="1"/>
    <col min="4" max="4" width="40" customWidth="1"/>
  </cols>
  <sheetData>
    <row r="1" spans="1:4" ht="24" customHeight="1" x14ac:dyDescent="0.25">
      <c r="A1" s="141" t="s">
        <v>473</v>
      </c>
      <c r="B1" s="141"/>
      <c r="C1" s="141"/>
      <c r="D1" s="141"/>
    </row>
    <row r="2" spans="1:4" ht="13.5" customHeight="1" x14ac:dyDescent="0.25">
      <c r="A2" s="142" t="s">
        <v>474</v>
      </c>
      <c r="B2" s="142"/>
      <c r="C2" s="142"/>
      <c r="D2" s="142"/>
    </row>
    <row r="4" spans="1:4" x14ac:dyDescent="0.25">
      <c r="A4" s="115" t="s">
        <v>475</v>
      </c>
      <c r="B4" s="116" t="s">
        <v>476</v>
      </c>
      <c r="C4" s="116" t="s">
        <v>477</v>
      </c>
      <c r="D4" s="115" t="s">
        <v>478</v>
      </c>
    </row>
    <row r="5" spans="1:4" x14ac:dyDescent="0.25">
      <c r="A5" s="1" t="s">
        <v>479</v>
      </c>
      <c r="B5" s="117" t="s">
        <v>480</v>
      </c>
      <c r="C5" s="118" t="str">
        <f>Acquisition!B27</f>
        <v>OK</v>
      </c>
      <c r="D5" s="119" t="s">
        <v>481</v>
      </c>
    </row>
    <row r="6" spans="1:4" x14ac:dyDescent="0.25">
      <c r="A6" s="1" t="s">
        <v>482</v>
      </c>
      <c r="B6" s="120">
        <f>Acquisition!B24</f>
        <v>1510100</v>
      </c>
      <c r="C6" s="118" t="str">
        <f>IF(ABS(Acquisition!B24-Acquisition!B18)&lt;1,"OK","ERROR")</f>
        <v>OK</v>
      </c>
      <c r="D6" s="119" t="s">
        <v>483</v>
      </c>
    </row>
    <row r="7" spans="1:4" x14ac:dyDescent="0.25">
      <c r="A7" s="1" t="s">
        <v>484</v>
      </c>
      <c r="B7" s="82">
        <f>'Rent Roll'!B87</f>
        <v>80</v>
      </c>
      <c r="C7" s="118" t="str">
        <f>IF('Rent Roll'!B87=Assumptions!$B$16,"OK","ERROR")</f>
        <v>OK</v>
      </c>
      <c r="D7" s="119" t="s">
        <v>485</v>
      </c>
    </row>
    <row r="8" spans="1:4" x14ac:dyDescent="0.25">
      <c r="A8" s="1" t="s">
        <v>486</v>
      </c>
      <c r="B8" s="82">
        <f>'Rent Roll'!B88</f>
        <v>60</v>
      </c>
      <c r="C8" s="118" t="str">
        <f>IF('Rent Roll'!B88=Assumptions!$B$17,"OK","ERROR")</f>
        <v>OK</v>
      </c>
      <c r="D8" s="119" t="s">
        <v>487</v>
      </c>
    </row>
    <row r="9" spans="1:4" x14ac:dyDescent="0.25">
      <c r="A9" s="1" t="s">
        <v>488</v>
      </c>
      <c r="B9" s="82">
        <f>'Rent Roll'!B89</f>
        <v>350</v>
      </c>
      <c r="C9" s="118" t="str">
        <f>IF(ABS('Rent Roll'!B89-Assumptions!$B$23)&lt;1,"OK","ERROR")</f>
        <v>OK</v>
      </c>
      <c r="D9" s="119" t="s">
        <v>489</v>
      </c>
    </row>
    <row r="10" spans="1:4" x14ac:dyDescent="0.25">
      <c r="A10" s="1" t="s">
        <v>490</v>
      </c>
      <c r="B10" s="120">
        <f>Revenue!B12</f>
        <v>0</v>
      </c>
      <c r="C10" s="118" t="str">
        <f>IF(ABS(Revenue!B12-Valuation!B5)&lt;1,"OK","ERROR")</f>
        <v>OK</v>
      </c>
      <c r="D10" s="119" t="s">
        <v>491</v>
      </c>
    </row>
    <row r="11" spans="1:4" x14ac:dyDescent="0.25">
      <c r="A11" s="1" t="s">
        <v>492</v>
      </c>
      <c r="B11" s="120">
        <f>Valuation!B7</f>
        <v>0</v>
      </c>
      <c r="C11" s="118" t="str">
        <f>IF(ABS(Valuation!B7-(Valuation!B5+Valuation!B6))&lt;1,"OK","ERROR")</f>
        <v>OK</v>
      </c>
      <c r="D11" s="119" t="s">
        <v>493</v>
      </c>
    </row>
    <row r="12" spans="1:4" x14ac:dyDescent="0.25">
      <c r="A12" s="1" t="s">
        <v>494</v>
      </c>
      <c r="B12" s="117" t="s">
        <v>480</v>
      </c>
      <c r="C12" s="118" t="str">
        <f>IF(ABS(SUMPRODUCT('Debt Schedule'!D6:DS6-'Debt Schedule'!D8:DS8-'Debt Schedule'!D10:DS10))&lt;1,"OK","ERROR")</f>
        <v>OK</v>
      </c>
      <c r="D12" s="119" t="s">
        <v>495</v>
      </c>
    </row>
    <row r="13" spans="1:4" x14ac:dyDescent="0.25">
      <c r="A13" s="1" t="s">
        <v>496</v>
      </c>
      <c r="B13" s="120">
        <f>Refinance!$B$14</f>
        <v>616028.1409112009</v>
      </c>
      <c r="C13" s="118" t="str">
        <f>IF(ABS(Refinance!B14-(Refinance!B11+Refinance!B12+Refinance!B13))&lt;1,"OK","ERROR")</f>
        <v>OK</v>
      </c>
      <c r="D13" s="119" t="s">
        <v>497</v>
      </c>
    </row>
    <row r="14" spans="1:4" x14ac:dyDescent="0.25">
      <c r="A14" s="1" t="s">
        <v>498</v>
      </c>
      <c r="B14" s="120">
        <f>Exit!$B$13</f>
        <v>701987.73042483395</v>
      </c>
      <c r="C14" s="118" t="str">
        <f>IF(ABS(Exit!B13-SUM(Exit!B9:B12))&lt;1,"OK","ERROR")</f>
        <v>OK</v>
      </c>
      <c r="D14" s="119" t="s">
        <v>499</v>
      </c>
    </row>
    <row r="15" spans="1:4" x14ac:dyDescent="0.25">
      <c r="A15" s="1" t="s">
        <v>500</v>
      </c>
      <c r="B15" s="120">
        <f>'Equity Returns'!B11</f>
        <v>-600100</v>
      </c>
      <c r="C15" s="118" t="str">
        <f>IF(ABS('Equity Returns'!B11+Acquisition!B23)&lt;1,"OK","ERROR")</f>
        <v>OK</v>
      </c>
      <c r="D15" s="119" t="s">
        <v>501</v>
      </c>
    </row>
    <row r="16" spans="1:4" x14ac:dyDescent="0.25">
      <c r="A16" s="1" t="s">
        <v>502</v>
      </c>
      <c r="B16" s="82">
        <f>MAX('Monthly Operations'!D8:DS8)</f>
        <v>73.600000000000009</v>
      </c>
      <c r="C16" s="118" t="str">
        <f>IF(MAX('Monthly Operations'!D8:DS8)&lt;=Assumptions!$B$16+0.01,"OK","ERROR")</f>
        <v>OK</v>
      </c>
      <c r="D16" s="119" t="s">
        <v>503</v>
      </c>
    </row>
    <row r="17" spans="1:4" x14ac:dyDescent="0.25">
      <c r="A17" s="1" t="s">
        <v>504</v>
      </c>
      <c r="B17" s="120">
        <f>Sensitivities!M9</f>
        <v>0.27741656061743125</v>
      </c>
      <c r="C17" s="118" t="str">
        <f>IF(ABS(Sensitivities!M9-'Equity Returns'!B16)&lt;0.005,"OK","ERROR")</f>
        <v>OK</v>
      </c>
      <c r="D17" s="119" t="s">
        <v>505</v>
      </c>
    </row>
    <row r="18" spans="1:4" x14ac:dyDescent="0.25">
      <c r="A18" s="1" t="s">
        <v>506</v>
      </c>
      <c r="B18" s="120">
        <f>'Scenario Analysis'!C15</f>
        <v>0.27741656061743125</v>
      </c>
      <c r="C18" s="118" t="str">
        <f>IF(ABS('Scenario Analysis'!C15-'Equity Returns'!B16)&lt;0.005,"OK","ERROR")</f>
        <v>OK</v>
      </c>
      <c r="D18" s="119" t="s">
        <v>507</v>
      </c>
    </row>
    <row r="20" spans="1:4" x14ac:dyDescent="0.25">
      <c r="A20" s="115" t="s">
        <v>508</v>
      </c>
      <c r="C20" s="118" t="str">
        <f>IF(COUNTIF(C5:C18,"ERROR")=0,"ALL PASS","REVIEW")</f>
        <v>ALL PASS</v>
      </c>
    </row>
  </sheetData>
  <mergeCells count="2">
    <mergeCell ref="A1:D1"/>
    <mergeCell ref="A2:D2"/>
  </mergeCells>
  <conditionalFormatting sqref="C5:C20">
    <cfRule type="cellIs" dxfId="3" priority="2" operator="equal">
      <formula>"OK"</formula>
    </cfRule>
    <cfRule type="cellIs" dxfId="2" priority="3" operator="equal">
      <formula>"ALL PASS"</formula>
    </cfRule>
    <cfRule type="cellIs" dxfId="1" priority="4" operator="equal">
      <formula>"ERROR"</formula>
    </cfRule>
    <cfRule type="cellIs" dxfId="0" priority="5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Investment Summary</vt:lpstr>
      <vt:lpstr>Rent Roll</vt:lpstr>
      <vt:lpstr>Revenue</vt:lpstr>
      <vt:lpstr>Operating Expenses</vt:lpstr>
      <vt:lpstr>CapEx</vt:lpstr>
      <vt:lpstr>Monthly Operations</vt:lpstr>
      <vt:lpstr>Debt Schedule</vt:lpstr>
      <vt:lpstr>Refinance</vt:lpstr>
      <vt:lpstr>Valuation</vt:lpstr>
      <vt:lpstr>Exit</vt:lpstr>
      <vt:lpstr>Acquisition</vt:lpstr>
      <vt:lpstr>Assumptions</vt:lpstr>
      <vt:lpstr>Equity Returns</vt:lpstr>
      <vt:lpstr>Equity Returns (2)</vt:lpstr>
      <vt:lpstr>Equity Returns (3)</vt:lpstr>
      <vt:lpstr>LP GP Waterfall</vt:lpstr>
      <vt:lpstr>Sensitivities</vt:lpstr>
      <vt:lpstr>Scenario Analysis</vt:lpstr>
      <vt:lpstr>BOV</vt:lpstr>
      <vt:lpstr>Checks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Zain Munir </cp:lastModifiedBy>
  <cp:revision>1</cp:revision>
  <cp:lastPrinted>2026-09-21T18:32:58Z</cp:lastPrinted>
  <dcterms:created xsi:type="dcterms:W3CDTF">2026-09-14T21:25:27Z</dcterms:created>
  <dcterms:modified xsi:type="dcterms:W3CDTF">2026-10-01T09:06:26Z</dcterms:modified>
  <dc:language>en-US</dc:language>
</cp:coreProperties>
</file>