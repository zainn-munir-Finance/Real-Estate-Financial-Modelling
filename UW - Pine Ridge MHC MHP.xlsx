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ALI COMPUTER\Desktop\"/>
    </mc:Choice>
  </mc:AlternateContent>
  <xr:revisionPtr revIDLastSave="0" documentId="13_ncr:1_{E4145AB7-536D-48A4-8E9A-6D90FD40921B}" xr6:coauthVersionLast="47" xr6:coauthVersionMax="47" xr10:uidLastSave="{00000000-0000-0000-0000-000000000000}"/>
  <bookViews>
    <workbookView xWindow="-120" yWindow="-120" windowWidth="20730" windowHeight="11160" tabRatio="868" activeTab="1" xr2:uid="{00000000-000D-0000-FFFF-FFFF00000000}"/>
  </bookViews>
  <sheets>
    <sheet name="Assumption" sheetId="1" r:id="rId1"/>
    <sheet name="BOV " sheetId="2" r:id="rId2"/>
    <sheet name="Land" sheetId="4" r:id="rId3"/>
    <sheet name="POH " sheetId="10" r:id="rId4"/>
    <sheet name="Cash Flow Model" sheetId="3" r:id="rId5"/>
    <sheet name="IRR by Exit Year Analysis" sheetId="6" r:id="rId6"/>
    <sheet name="Loan Amortization " sheetId="7" r:id="rId7"/>
    <sheet name="RTO" sheetId="9" r:id="rId8"/>
    <sheet name="Property Tax Working " sheetId="8" r:id="rId9"/>
  </sheets>
  <definedNames>
    <definedName name="_xlnm._FilterDatabase" localSheetId="7" hidden="1">RTO!$A$12:$Q$32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2" l="1"/>
  <c r="B7" i="2" s="1"/>
  <c r="C31" i="10" l="1"/>
  <c r="D31" i="10" s="1"/>
  <c r="E31" i="10" s="1"/>
  <c r="F31" i="10" s="1"/>
  <c r="G31" i="10" s="1"/>
  <c r="H31" i="10" s="1"/>
  <c r="I31" i="10" s="1"/>
  <c r="J31" i="10" s="1"/>
  <c r="K31" i="10" s="1"/>
  <c r="L31" i="10" s="1"/>
  <c r="H6" i="8"/>
  <c r="G10" i="8"/>
  <c r="F10" i="8"/>
  <c r="E10" i="8"/>
  <c r="H9" i="8"/>
  <c r="H8" i="8"/>
  <c r="H7" i="8"/>
  <c r="H5" i="8"/>
  <c r="H4" i="8"/>
  <c r="B9" i="9"/>
  <c r="B17" i="3"/>
  <c r="C33" i="9"/>
  <c r="B21" i="10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13" i="9"/>
  <c r="G22" i="9"/>
  <c r="H22" i="9"/>
  <c r="J22" i="9"/>
  <c r="K22" i="9"/>
  <c r="L22" i="9"/>
  <c r="N22" i="9"/>
  <c r="O22" i="9"/>
  <c r="P22" i="9"/>
  <c r="I23" i="9"/>
  <c r="J23" i="9"/>
  <c r="M23" i="9"/>
  <c r="N23" i="9"/>
  <c r="I25" i="9"/>
  <c r="J25" i="9"/>
  <c r="M25" i="9"/>
  <c r="N25" i="9"/>
  <c r="I27" i="9"/>
  <c r="J27" i="9"/>
  <c r="M27" i="9"/>
  <c r="N27" i="9"/>
  <c r="I29" i="9"/>
  <c r="J29" i="9"/>
  <c r="M29" i="9"/>
  <c r="N29" i="9"/>
  <c r="I31" i="9"/>
  <c r="J31" i="9"/>
  <c r="M31" i="9"/>
  <c r="N31" i="9"/>
  <c r="D22" i="9"/>
  <c r="E22" i="9" s="1"/>
  <c r="D23" i="9"/>
  <c r="G23" i="9" s="1"/>
  <c r="E23" i="9"/>
  <c r="D24" i="9"/>
  <c r="I24" i="9" s="1"/>
  <c r="D25" i="9"/>
  <c r="G25" i="9" s="1"/>
  <c r="E25" i="9"/>
  <c r="D26" i="9"/>
  <c r="I26" i="9" s="1"/>
  <c r="D27" i="9"/>
  <c r="G27" i="9" s="1"/>
  <c r="E27" i="9"/>
  <c r="D28" i="9"/>
  <c r="I28" i="9" s="1"/>
  <c r="D29" i="9"/>
  <c r="G29" i="9" s="1"/>
  <c r="E29" i="9"/>
  <c r="D30" i="9"/>
  <c r="I30" i="9" s="1"/>
  <c r="D31" i="9"/>
  <c r="G31" i="9" s="1"/>
  <c r="E31" i="9"/>
  <c r="D32" i="9"/>
  <c r="I32" i="9" s="1"/>
  <c r="C32" i="9"/>
  <c r="C31" i="9"/>
  <c r="C30" i="9"/>
  <c r="C29" i="9"/>
  <c r="C28" i="9"/>
  <c r="C27" i="9"/>
  <c r="C26" i="9"/>
  <c r="C25" i="9"/>
  <c r="C24" i="9"/>
  <c r="C23" i="9"/>
  <c r="C22" i="9"/>
  <c r="L32" i="9" l="1"/>
  <c r="P28" i="9"/>
  <c r="L26" i="9"/>
  <c r="L24" i="9"/>
  <c r="H24" i="9"/>
  <c r="K32" i="9"/>
  <c r="O28" i="9"/>
  <c r="G28" i="9"/>
  <c r="Q28" i="9" s="1"/>
  <c r="K26" i="9"/>
  <c r="K24" i="9"/>
  <c r="G24" i="9"/>
  <c r="P31" i="9"/>
  <c r="L29" i="9"/>
  <c r="H23" i="9"/>
  <c r="P32" i="9"/>
  <c r="H32" i="9"/>
  <c r="P30" i="9"/>
  <c r="L30" i="9"/>
  <c r="H30" i="9"/>
  <c r="Q30" i="9" s="1"/>
  <c r="L28" i="9"/>
  <c r="H28" i="9"/>
  <c r="P26" i="9"/>
  <c r="H26" i="9"/>
  <c r="P24" i="9"/>
  <c r="O32" i="9"/>
  <c r="G32" i="9"/>
  <c r="O30" i="9"/>
  <c r="K30" i="9"/>
  <c r="G30" i="9"/>
  <c r="K28" i="9"/>
  <c r="O26" i="9"/>
  <c r="G26" i="9"/>
  <c r="Q26" i="9" s="1"/>
  <c r="O24" i="9"/>
  <c r="N32" i="9"/>
  <c r="J32" i="9"/>
  <c r="L31" i="9"/>
  <c r="H31" i="9"/>
  <c r="N30" i="9"/>
  <c r="J30" i="9"/>
  <c r="P29" i="9"/>
  <c r="Q29" i="9" s="1"/>
  <c r="H29" i="9"/>
  <c r="N28" i="9"/>
  <c r="J28" i="9"/>
  <c r="P27" i="9"/>
  <c r="L27" i="9"/>
  <c r="H27" i="9"/>
  <c r="N26" i="9"/>
  <c r="J26" i="9"/>
  <c r="P25" i="9"/>
  <c r="L25" i="9"/>
  <c r="H25" i="9"/>
  <c r="N24" i="9"/>
  <c r="J24" i="9"/>
  <c r="P23" i="9"/>
  <c r="L23" i="9"/>
  <c r="E32" i="9"/>
  <c r="E30" i="9"/>
  <c r="E28" i="9"/>
  <c r="E26" i="9"/>
  <c r="E24" i="9"/>
  <c r="M32" i="9"/>
  <c r="O31" i="9"/>
  <c r="K31" i="9"/>
  <c r="M30" i="9"/>
  <c r="O29" i="9"/>
  <c r="K29" i="9"/>
  <c r="M28" i="9"/>
  <c r="O27" i="9"/>
  <c r="Q27" i="9" s="1"/>
  <c r="K27" i="9"/>
  <c r="M26" i="9"/>
  <c r="O25" i="9"/>
  <c r="K25" i="9"/>
  <c r="Q25" i="9" s="1"/>
  <c r="M24" i="9"/>
  <c r="O23" i="9"/>
  <c r="K23" i="9"/>
  <c r="Q23" i="9" s="1"/>
  <c r="M22" i="9"/>
  <c r="Q22" i="9" s="1"/>
  <c r="I22" i="9"/>
  <c r="Q31" i="9"/>
  <c r="Q32" i="9"/>
  <c r="B7" i="10"/>
  <c r="C7" i="10" s="1"/>
  <c r="B12" i="10"/>
  <c r="C12" i="10" s="1"/>
  <c r="O10" i="10"/>
  <c r="B10" i="10"/>
  <c r="B11" i="10" s="1"/>
  <c r="O5" i="10"/>
  <c r="B5" i="10"/>
  <c r="B34" i="10"/>
  <c r="C32" i="10"/>
  <c r="D32" i="10" s="1"/>
  <c r="E32" i="10" s="1"/>
  <c r="F32" i="10" s="1"/>
  <c r="G32" i="10" s="1"/>
  <c r="H32" i="10" s="1"/>
  <c r="I32" i="10" s="1"/>
  <c r="J32" i="10" s="1"/>
  <c r="K32" i="10" s="1"/>
  <c r="L32" i="10" s="1"/>
  <c r="C30" i="10"/>
  <c r="D30" i="10" s="1"/>
  <c r="C29" i="10"/>
  <c r="D29" i="10" s="1"/>
  <c r="E29" i="10" s="1"/>
  <c r="C58" i="4"/>
  <c r="D58" i="4" s="1"/>
  <c r="E58" i="4" s="1"/>
  <c r="F58" i="4" s="1"/>
  <c r="G58" i="4" s="1"/>
  <c r="H58" i="4" s="1"/>
  <c r="I58" i="4" s="1"/>
  <c r="J58" i="4" s="1"/>
  <c r="K58" i="4" s="1"/>
  <c r="L58" i="4" s="1"/>
  <c r="C55" i="4"/>
  <c r="D55" i="4" s="1"/>
  <c r="E55" i="4" s="1"/>
  <c r="F55" i="4" s="1"/>
  <c r="G55" i="4" s="1"/>
  <c r="H55" i="4" s="1"/>
  <c r="I55" i="4" s="1"/>
  <c r="J55" i="4" s="1"/>
  <c r="K55" i="4" s="1"/>
  <c r="L55" i="4" s="1"/>
  <c r="O42" i="4"/>
  <c r="C53" i="4"/>
  <c r="C50" i="4"/>
  <c r="D50" i="4" s="1"/>
  <c r="E50" i="4" s="1"/>
  <c r="F50" i="4" s="1"/>
  <c r="G50" i="4" s="1"/>
  <c r="H50" i="4" s="1"/>
  <c r="I50" i="4" s="1"/>
  <c r="J50" i="4" s="1"/>
  <c r="K50" i="4" s="1"/>
  <c r="L50" i="4" s="1"/>
  <c r="D53" i="4" l="1"/>
  <c r="D42" i="4" s="1"/>
  <c r="C42" i="4"/>
  <c r="Q24" i="9"/>
  <c r="E53" i="4"/>
  <c r="E42" i="4" s="1"/>
  <c r="B22" i="10"/>
  <c r="B19" i="10"/>
  <c r="C19" i="10" s="1"/>
  <c r="D19" i="10" s="1"/>
  <c r="E19" i="10" s="1"/>
  <c r="B20" i="10"/>
  <c r="B15" i="10"/>
  <c r="B6" i="10"/>
  <c r="N10" i="10"/>
  <c r="C10" i="10"/>
  <c r="C20" i="10" s="1"/>
  <c r="C13" i="10"/>
  <c r="D12" i="10"/>
  <c r="D13" i="10" s="1"/>
  <c r="D7" i="10"/>
  <c r="C8" i="10"/>
  <c r="E30" i="10"/>
  <c r="F30" i="10" s="1"/>
  <c r="G30" i="10" s="1"/>
  <c r="H30" i="10" s="1"/>
  <c r="I30" i="10" s="1"/>
  <c r="J30" i="10" s="1"/>
  <c r="K30" i="10" s="1"/>
  <c r="L30" i="10" s="1"/>
  <c r="N5" i="10"/>
  <c r="F19" i="10"/>
  <c r="C5" i="10"/>
  <c r="C6" i="10" s="1"/>
  <c r="O15" i="10"/>
  <c r="F29" i="10"/>
  <c r="F53" i="4" l="1"/>
  <c r="C22" i="10"/>
  <c r="D10" i="10"/>
  <c r="C11" i="10"/>
  <c r="C15" i="10"/>
  <c r="E12" i="10"/>
  <c r="F12" i="10" s="1"/>
  <c r="F13" i="10" s="1"/>
  <c r="E7" i="10"/>
  <c r="D8" i="10"/>
  <c r="G19" i="10"/>
  <c r="B25" i="10"/>
  <c r="B14" i="3" s="1"/>
  <c r="G29" i="10"/>
  <c r="P32" i="10"/>
  <c r="Q32" i="10" s="1"/>
  <c r="D5" i="10"/>
  <c r="N15" i="10"/>
  <c r="B27" i="4"/>
  <c r="C27" i="4" s="1"/>
  <c r="B22" i="4"/>
  <c r="C22" i="4" s="1"/>
  <c r="B17" i="4"/>
  <c r="C17" i="4" s="1"/>
  <c r="B12" i="4"/>
  <c r="C12" i="4" s="1"/>
  <c r="B7" i="4"/>
  <c r="C7" i="4" s="1"/>
  <c r="B5" i="4"/>
  <c r="D21" i="9"/>
  <c r="C21" i="9"/>
  <c r="D20" i="9"/>
  <c r="E20" i="9" s="1"/>
  <c r="C20" i="9"/>
  <c r="D19" i="9"/>
  <c r="C19" i="9"/>
  <c r="D18" i="9"/>
  <c r="C18" i="9"/>
  <c r="D17" i="9"/>
  <c r="E17" i="9" s="1"/>
  <c r="C17" i="9"/>
  <c r="D16" i="9"/>
  <c r="E16" i="9" s="1"/>
  <c r="C16" i="9"/>
  <c r="D15" i="9"/>
  <c r="E15" i="9" s="1"/>
  <c r="C15" i="9"/>
  <c r="D14" i="9"/>
  <c r="C14" i="9"/>
  <c r="D13" i="9"/>
  <c r="C13" i="9"/>
  <c r="B15" i="4"/>
  <c r="B16" i="4" s="1"/>
  <c r="B8" i="7"/>
  <c r="B6" i="7"/>
  <c r="L40" i="6"/>
  <c r="L39" i="6"/>
  <c r="K39" i="6"/>
  <c r="L38" i="6"/>
  <c r="K38" i="6"/>
  <c r="J38" i="6"/>
  <c r="L37" i="6"/>
  <c r="K37" i="6"/>
  <c r="J37" i="6"/>
  <c r="I37" i="6"/>
  <c r="L36" i="6"/>
  <c r="K36" i="6"/>
  <c r="J36" i="6"/>
  <c r="I36" i="6"/>
  <c r="H36" i="6"/>
  <c r="L35" i="6"/>
  <c r="K35" i="6"/>
  <c r="J35" i="6"/>
  <c r="I35" i="6"/>
  <c r="H35" i="6"/>
  <c r="G35" i="6"/>
  <c r="L34" i="6"/>
  <c r="K34" i="6"/>
  <c r="J34" i="6"/>
  <c r="I34" i="6"/>
  <c r="H34" i="6"/>
  <c r="G34" i="6"/>
  <c r="F34" i="6"/>
  <c r="L33" i="6"/>
  <c r="K33" i="6"/>
  <c r="J33" i="6"/>
  <c r="I33" i="6"/>
  <c r="H33" i="6"/>
  <c r="G33" i="6"/>
  <c r="F33" i="6"/>
  <c r="E33" i="6"/>
  <c r="L32" i="6"/>
  <c r="K32" i="6"/>
  <c r="J32" i="6"/>
  <c r="I32" i="6"/>
  <c r="H32" i="6"/>
  <c r="G32" i="6"/>
  <c r="F32" i="6"/>
  <c r="E32" i="6"/>
  <c r="D32" i="6"/>
  <c r="L27" i="6"/>
  <c r="L26" i="6"/>
  <c r="K26" i="6"/>
  <c r="L25" i="6"/>
  <c r="K25" i="6"/>
  <c r="J25" i="6"/>
  <c r="L24" i="6"/>
  <c r="K24" i="6"/>
  <c r="J24" i="6"/>
  <c r="I24" i="6"/>
  <c r="L23" i="6"/>
  <c r="K23" i="6"/>
  <c r="J23" i="6"/>
  <c r="I23" i="6"/>
  <c r="H23" i="6"/>
  <c r="L22" i="6"/>
  <c r="K22" i="6"/>
  <c r="J22" i="6"/>
  <c r="I22" i="6"/>
  <c r="H22" i="6"/>
  <c r="G22" i="6"/>
  <c r="L21" i="6"/>
  <c r="K21" i="6"/>
  <c r="J21" i="6"/>
  <c r="I21" i="6"/>
  <c r="H21" i="6"/>
  <c r="G21" i="6"/>
  <c r="F21" i="6"/>
  <c r="L20" i="6"/>
  <c r="K20" i="6"/>
  <c r="J20" i="6"/>
  <c r="I20" i="6"/>
  <c r="H20" i="6"/>
  <c r="G20" i="6"/>
  <c r="F20" i="6"/>
  <c r="E20" i="6"/>
  <c r="L19" i="6"/>
  <c r="K19" i="6"/>
  <c r="J19" i="6"/>
  <c r="I19" i="6"/>
  <c r="H19" i="6"/>
  <c r="G19" i="6"/>
  <c r="F19" i="6"/>
  <c r="E19" i="6"/>
  <c r="D19" i="6"/>
  <c r="C49" i="4"/>
  <c r="D49" i="4" s="1"/>
  <c r="E49" i="4" s="1"/>
  <c r="F49" i="4" s="1"/>
  <c r="G49" i="4" s="1"/>
  <c r="H49" i="4" s="1"/>
  <c r="I49" i="4" s="1"/>
  <c r="J49" i="4" s="1"/>
  <c r="K49" i="4" s="1"/>
  <c r="L49" i="4" s="1"/>
  <c r="C48" i="4"/>
  <c r="O25" i="4"/>
  <c r="B38" i="4" s="1"/>
  <c r="C38" i="4" s="1"/>
  <c r="D38" i="4" s="1"/>
  <c r="E38" i="4" s="1"/>
  <c r="F38" i="4" s="1"/>
  <c r="G38" i="4" s="1"/>
  <c r="H38" i="4" s="1"/>
  <c r="I38" i="4" s="1"/>
  <c r="J38" i="4" s="1"/>
  <c r="K38" i="4" s="1"/>
  <c r="L38" i="4" s="1"/>
  <c r="B25" i="4"/>
  <c r="B26" i="4" s="1"/>
  <c r="O20" i="4"/>
  <c r="B37" i="4" s="1"/>
  <c r="C37" i="4" s="1"/>
  <c r="D37" i="4" s="1"/>
  <c r="E37" i="4" s="1"/>
  <c r="F37" i="4" s="1"/>
  <c r="G37" i="4" s="1"/>
  <c r="H37" i="4" s="1"/>
  <c r="I37" i="4" s="1"/>
  <c r="J37" i="4" s="1"/>
  <c r="K37" i="4" s="1"/>
  <c r="L37" i="4" s="1"/>
  <c r="B20" i="4"/>
  <c r="B21" i="4" s="1"/>
  <c r="O15" i="4"/>
  <c r="B36" i="4" s="1"/>
  <c r="C36" i="4" s="1"/>
  <c r="D36" i="4" s="1"/>
  <c r="E36" i="4" s="1"/>
  <c r="F36" i="4" s="1"/>
  <c r="G36" i="4" s="1"/>
  <c r="H36" i="4" s="1"/>
  <c r="I36" i="4" s="1"/>
  <c r="J36" i="4" s="1"/>
  <c r="K36" i="4" s="1"/>
  <c r="L36" i="4" s="1"/>
  <c r="O10" i="4"/>
  <c r="B10" i="4"/>
  <c r="B11" i="4" s="1"/>
  <c r="O5" i="4"/>
  <c r="B8" i="3"/>
  <c r="B6" i="3"/>
  <c r="E5" i="3"/>
  <c r="B29" i="3" s="1"/>
  <c r="B35" i="2"/>
  <c r="D22" i="2" s="1"/>
  <c r="D20" i="2"/>
  <c r="C20" i="2"/>
  <c r="D5" i="2"/>
  <c r="C5" i="2"/>
  <c r="D20" i="1"/>
  <c r="C20" i="1"/>
  <c r="B20" i="1"/>
  <c r="G53" i="4" l="1"/>
  <c r="G42" i="4" s="1"/>
  <c r="F42" i="4"/>
  <c r="N13" i="9"/>
  <c r="J21" i="9"/>
  <c r="E13" i="9"/>
  <c r="H13" i="9"/>
  <c r="G13" i="9"/>
  <c r="B6" i="4"/>
  <c r="B34" i="4"/>
  <c r="N20" i="9"/>
  <c r="N15" i="9"/>
  <c r="N16" i="9"/>
  <c r="N17" i="9"/>
  <c r="N18" i="9"/>
  <c r="D6" i="10"/>
  <c r="D22" i="10"/>
  <c r="D11" i="10"/>
  <c r="D20" i="10"/>
  <c r="E10" i="10"/>
  <c r="G12" i="10"/>
  <c r="G13" i="10" s="1"/>
  <c r="E13" i="10"/>
  <c r="D15" i="10"/>
  <c r="H29" i="10"/>
  <c r="B35" i="10"/>
  <c r="B36" i="10"/>
  <c r="F7" i="10"/>
  <c r="E8" i="10"/>
  <c r="E5" i="10"/>
  <c r="H19" i="10"/>
  <c r="B30" i="4"/>
  <c r="B39" i="4"/>
  <c r="C28" i="4"/>
  <c r="D27" i="4"/>
  <c r="C23" i="4"/>
  <c r="D22" i="4"/>
  <c r="C18" i="4"/>
  <c r="D17" i="4"/>
  <c r="C8" i="4"/>
  <c r="D7" i="4"/>
  <c r="D8" i="4" s="1"/>
  <c r="D12" i="4"/>
  <c r="C13" i="4"/>
  <c r="C34" i="4"/>
  <c r="D34" i="4" s="1"/>
  <c r="C20" i="4"/>
  <c r="N14" i="9"/>
  <c r="N19" i="9"/>
  <c r="O19" i="9"/>
  <c r="P14" i="9"/>
  <c r="P18" i="9"/>
  <c r="N21" i="9"/>
  <c r="F33" i="9"/>
  <c r="E14" i="9"/>
  <c r="P15" i="9"/>
  <c r="E18" i="9"/>
  <c r="P19" i="9"/>
  <c r="E21" i="9"/>
  <c r="P16" i="9"/>
  <c r="E19" i="9"/>
  <c r="C5" i="4"/>
  <c r="P13" i="9"/>
  <c r="P17" i="9"/>
  <c r="P20" i="9"/>
  <c r="G14" i="9"/>
  <c r="O15" i="9"/>
  <c r="L13" i="9"/>
  <c r="H14" i="9"/>
  <c r="L14" i="9"/>
  <c r="H15" i="9"/>
  <c r="L15" i="9"/>
  <c r="H16" i="9"/>
  <c r="L16" i="9"/>
  <c r="H17" i="9"/>
  <c r="L17" i="9"/>
  <c r="H18" i="9"/>
  <c r="L18" i="9"/>
  <c r="H19" i="9"/>
  <c r="L19" i="9"/>
  <c r="H20" i="9"/>
  <c r="L20" i="9"/>
  <c r="H21" i="9"/>
  <c r="L21" i="9"/>
  <c r="P21" i="9"/>
  <c r="O13" i="9"/>
  <c r="K14" i="9"/>
  <c r="K15" i="9"/>
  <c r="G16" i="9"/>
  <c r="O16" i="9"/>
  <c r="K17" i="9"/>
  <c r="G18" i="9"/>
  <c r="O18" i="9"/>
  <c r="G19" i="9"/>
  <c r="G20" i="9"/>
  <c r="O20" i="9"/>
  <c r="K21" i="9"/>
  <c r="O21" i="9"/>
  <c r="I13" i="9"/>
  <c r="M13" i="9"/>
  <c r="I14" i="9"/>
  <c r="M14" i="9"/>
  <c r="I15" i="9"/>
  <c r="M15" i="9"/>
  <c r="I16" i="9"/>
  <c r="M16" i="9"/>
  <c r="I17" i="9"/>
  <c r="M17" i="9"/>
  <c r="I18" i="9"/>
  <c r="M18" i="9"/>
  <c r="I19" i="9"/>
  <c r="M19" i="9"/>
  <c r="I20" i="9"/>
  <c r="M20" i="9"/>
  <c r="I21" i="9"/>
  <c r="M21" i="9"/>
  <c r="K13" i="9"/>
  <c r="O14" i="9"/>
  <c r="G15" i="9"/>
  <c r="K16" i="9"/>
  <c r="G17" i="9"/>
  <c r="O17" i="9"/>
  <c r="K18" i="9"/>
  <c r="K19" i="9"/>
  <c r="K20" i="9"/>
  <c r="G21" i="9"/>
  <c r="J13" i="9"/>
  <c r="J14" i="9"/>
  <c r="J15" i="9"/>
  <c r="J16" i="9"/>
  <c r="J17" i="9"/>
  <c r="J18" i="9"/>
  <c r="J19" i="9"/>
  <c r="J20" i="9"/>
  <c r="B22" i="2"/>
  <c r="B5" i="7" s="1"/>
  <c r="C22" i="2"/>
  <c r="C25" i="4"/>
  <c r="N5" i="4"/>
  <c r="N25" i="4"/>
  <c r="C15" i="4"/>
  <c r="N20" i="4"/>
  <c r="Q57" i="4"/>
  <c r="C57" i="4" s="1"/>
  <c r="D57" i="4" s="1"/>
  <c r="E57" i="4" s="1"/>
  <c r="F57" i="4" s="1"/>
  <c r="G57" i="4" s="1"/>
  <c r="H57" i="4" s="1"/>
  <c r="I57" i="4" s="1"/>
  <c r="J57" i="4" s="1"/>
  <c r="K57" i="4" s="1"/>
  <c r="L57" i="4" s="1"/>
  <c r="C10" i="4"/>
  <c r="N10" i="4"/>
  <c r="N15" i="4"/>
  <c r="O30" i="4"/>
  <c r="D48" i="4"/>
  <c r="B35" i="4"/>
  <c r="H53" i="4" l="1"/>
  <c r="H42" i="4" s="1"/>
  <c r="E6" i="10"/>
  <c r="E22" i="10"/>
  <c r="H12" i="10"/>
  <c r="I12" i="10" s="1"/>
  <c r="E11" i="10"/>
  <c r="E20" i="10"/>
  <c r="F10" i="10"/>
  <c r="E15" i="10"/>
  <c r="H13" i="10"/>
  <c r="C34" i="10"/>
  <c r="F8" i="10"/>
  <c r="G7" i="10"/>
  <c r="I29" i="10"/>
  <c r="I19" i="10"/>
  <c r="F5" i="10"/>
  <c r="C39" i="4"/>
  <c r="C16" i="4"/>
  <c r="C30" i="4"/>
  <c r="D28" i="4"/>
  <c r="E27" i="4"/>
  <c r="D25" i="4"/>
  <c r="C26" i="4"/>
  <c r="D23" i="4"/>
  <c r="E22" i="4"/>
  <c r="D20" i="4"/>
  <c r="C21" i="4"/>
  <c r="D18" i="4"/>
  <c r="E17" i="4"/>
  <c r="D15" i="4"/>
  <c r="E7" i="4"/>
  <c r="E8" i="4" s="1"/>
  <c r="D13" i="4"/>
  <c r="E12" i="4"/>
  <c r="D10" i="4"/>
  <c r="C11" i="4"/>
  <c r="D5" i="4"/>
  <c r="C6" i="4"/>
  <c r="B7" i="3"/>
  <c r="P33" i="9"/>
  <c r="N33" i="9"/>
  <c r="J21" i="10" s="1"/>
  <c r="Q20" i="9"/>
  <c r="Q19" i="9"/>
  <c r="O33" i="9"/>
  <c r="K21" i="10" s="1"/>
  <c r="Q14" i="9"/>
  <c r="B43" i="4"/>
  <c r="B44" i="4" s="1"/>
  <c r="Q21" i="9"/>
  <c r="M33" i="9"/>
  <c r="I21" i="10" s="1"/>
  <c r="Q16" i="9"/>
  <c r="L33" i="9"/>
  <c r="H21" i="10" s="1"/>
  <c r="Q13" i="9"/>
  <c r="G33" i="9"/>
  <c r="C21" i="10" s="1"/>
  <c r="C25" i="10" s="1"/>
  <c r="C14" i="3" s="1"/>
  <c r="J33" i="9"/>
  <c r="F21" i="10" s="1"/>
  <c r="Q15" i="9"/>
  <c r="Q17" i="9"/>
  <c r="K33" i="9"/>
  <c r="G21" i="10" s="1"/>
  <c r="I33" i="9"/>
  <c r="E21" i="10" s="1"/>
  <c r="Q18" i="9"/>
  <c r="H33" i="9"/>
  <c r="D21" i="10" s="1"/>
  <c r="D25" i="10" s="1"/>
  <c r="D14" i="3" s="1"/>
  <c r="N30" i="4"/>
  <c r="E48" i="4"/>
  <c r="C35" i="4"/>
  <c r="E34" i="4"/>
  <c r="C54" i="4"/>
  <c r="D54" i="4" s="1"/>
  <c r="E54" i="4" s="1"/>
  <c r="F54" i="4" s="1"/>
  <c r="G54" i="4" s="1"/>
  <c r="H54" i="4" s="1"/>
  <c r="I54" i="4" s="1"/>
  <c r="J54" i="4" s="1"/>
  <c r="K54" i="4" s="1"/>
  <c r="L54" i="4" s="1"/>
  <c r="P51" i="4"/>
  <c r="Q51" i="4" s="1"/>
  <c r="F7" i="4" l="1"/>
  <c r="G7" i="4" s="1"/>
  <c r="I53" i="4"/>
  <c r="I42" i="4" s="1"/>
  <c r="L37" i="9"/>
  <c r="L21" i="10"/>
  <c r="C36" i="10"/>
  <c r="C17" i="3"/>
  <c r="F6" i="10"/>
  <c r="F22" i="10"/>
  <c r="F11" i="10"/>
  <c r="F20" i="10"/>
  <c r="G10" i="10"/>
  <c r="F15" i="10"/>
  <c r="J12" i="10"/>
  <c r="I13" i="10"/>
  <c r="J29" i="10"/>
  <c r="D34" i="10"/>
  <c r="G5" i="10"/>
  <c r="H7" i="10"/>
  <c r="G8" i="10"/>
  <c r="E25" i="10"/>
  <c r="E14" i="3" s="1"/>
  <c r="J19" i="10"/>
  <c r="C35" i="10"/>
  <c r="J53" i="4"/>
  <c r="J42" i="4" s="1"/>
  <c r="D39" i="4"/>
  <c r="D16" i="4"/>
  <c r="D30" i="4"/>
  <c r="F27" i="4"/>
  <c r="E28" i="4"/>
  <c r="E25" i="4"/>
  <c r="D26" i="4"/>
  <c r="F22" i="4"/>
  <c r="E23" i="4"/>
  <c r="E20" i="4"/>
  <c r="D21" i="4"/>
  <c r="F17" i="4"/>
  <c r="E18" i="4"/>
  <c r="E15" i="4"/>
  <c r="F12" i="4"/>
  <c r="E13" i="4"/>
  <c r="E10" i="4"/>
  <c r="D11" i="4"/>
  <c r="F8" i="4"/>
  <c r="E5" i="4"/>
  <c r="D6" i="4"/>
  <c r="Q33" i="9"/>
  <c r="B13" i="3"/>
  <c r="B63" i="4"/>
  <c r="F48" i="4"/>
  <c r="G48" i="4" s="1"/>
  <c r="F34" i="4"/>
  <c r="G34" i="4" s="1"/>
  <c r="C51" i="4"/>
  <c r="D35" i="4"/>
  <c r="C43" i="4"/>
  <c r="D36" i="10" l="1"/>
  <c r="D17" i="3"/>
  <c r="G6" i="10"/>
  <c r="G22" i="10"/>
  <c r="G11" i="10"/>
  <c r="G20" i="10"/>
  <c r="H10" i="10"/>
  <c r="G15" i="10"/>
  <c r="K12" i="10"/>
  <c r="J13" i="10"/>
  <c r="E34" i="10"/>
  <c r="K19" i="10"/>
  <c r="K29" i="10"/>
  <c r="H8" i="10"/>
  <c r="I7" i="10"/>
  <c r="F25" i="10"/>
  <c r="F14" i="3" s="1"/>
  <c r="H5" i="10"/>
  <c r="D35" i="10"/>
  <c r="K53" i="4"/>
  <c r="K42" i="4" s="1"/>
  <c r="E39" i="4"/>
  <c r="E16" i="4"/>
  <c r="E30" i="4"/>
  <c r="G27" i="4"/>
  <c r="F28" i="4"/>
  <c r="F25" i="4"/>
  <c r="E26" i="4"/>
  <c r="G22" i="4"/>
  <c r="F23" i="4"/>
  <c r="F20" i="4"/>
  <c r="E21" i="4"/>
  <c r="G17" i="4"/>
  <c r="F18" i="4"/>
  <c r="F15" i="4"/>
  <c r="G12" i="4"/>
  <c r="F13" i="4"/>
  <c r="F10" i="4"/>
  <c r="E11" i="4"/>
  <c r="H7" i="4"/>
  <c r="G8" i="4"/>
  <c r="F5" i="4"/>
  <c r="E6" i="4"/>
  <c r="H34" i="4"/>
  <c r="H48" i="4"/>
  <c r="B16" i="3"/>
  <c r="B18" i="3" s="1"/>
  <c r="B65" i="4"/>
  <c r="B64" i="4"/>
  <c r="E35" i="4"/>
  <c r="D43" i="4"/>
  <c r="D51" i="4"/>
  <c r="D6" i="2"/>
  <c r="D7" i="2" s="1"/>
  <c r="C6" i="2"/>
  <c r="C7" i="2" s="1"/>
  <c r="C44" i="4"/>
  <c r="B15" i="3"/>
  <c r="B26" i="3" l="1"/>
  <c r="E36" i="10"/>
  <c r="E17" i="3"/>
  <c r="H6" i="10"/>
  <c r="H22" i="10"/>
  <c r="H11" i="10"/>
  <c r="H20" i="10"/>
  <c r="I10" i="10"/>
  <c r="H15" i="10"/>
  <c r="L12" i="10"/>
  <c r="L13" i="10" s="1"/>
  <c r="K13" i="10"/>
  <c r="F34" i="10"/>
  <c r="G25" i="10"/>
  <c r="G14" i="3" s="1"/>
  <c r="E35" i="10"/>
  <c r="I5" i="10"/>
  <c r="J7" i="10"/>
  <c r="I8" i="10"/>
  <c r="L29" i="10"/>
  <c r="L19" i="10"/>
  <c r="L53" i="4"/>
  <c r="L42" i="4" s="1"/>
  <c r="F39" i="4"/>
  <c r="F16" i="4"/>
  <c r="F30" i="4"/>
  <c r="H27" i="4"/>
  <c r="G28" i="4"/>
  <c r="G25" i="4"/>
  <c r="F26" i="4"/>
  <c r="H22" i="4"/>
  <c r="G23" i="4"/>
  <c r="G20" i="4"/>
  <c r="F21" i="4"/>
  <c r="H17" i="4"/>
  <c r="G18" i="4"/>
  <c r="G15" i="4"/>
  <c r="H12" i="4"/>
  <c r="G13" i="4"/>
  <c r="G10" i="4"/>
  <c r="F11" i="4"/>
  <c r="I7" i="4"/>
  <c r="H8" i="4"/>
  <c r="G5" i="4"/>
  <c r="F6" i="4"/>
  <c r="B19" i="3"/>
  <c r="I34" i="4"/>
  <c r="I48" i="4"/>
  <c r="D44" i="4"/>
  <c r="D62" i="4" s="1"/>
  <c r="D63" i="4" s="1"/>
  <c r="D21" i="2"/>
  <c r="D28" i="2" s="1"/>
  <c r="D18" i="2"/>
  <c r="C62" i="4"/>
  <c r="C63" i="4" s="1"/>
  <c r="C13" i="3"/>
  <c r="C15" i="3" s="1"/>
  <c r="B18" i="2"/>
  <c r="B21" i="2"/>
  <c r="B5" i="3"/>
  <c r="E6" i="3" s="1"/>
  <c r="E51" i="4"/>
  <c r="C21" i="2"/>
  <c r="C18" i="2"/>
  <c r="F35" i="4"/>
  <c r="G35" i="4" s="1"/>
  <c r="E43" i="4"/>
  <c r="C28" i="2" l="1"/>
  <c r="F36" i="10"/>
  <c r="F17" i="3"/>
  <c r="I6" i="10"/>
  <c r="I22" i="10"/>
  <c r="I11" i="10"/>
  <c r="I20" i="10"/>
  <c r="J10" i="10"/>
  <c r="I15" i="10"/>
  <c r="H25" i="10"/>
  <c r="H14" i="3" s="1"/>
  <c r="G34" i="10"/>
  <c r="J5" i="10"/>
  <c r="J8" i="10"/>
  <c r="K7" i="10"/>
  <c r="F35" i="10"/>
  <c r="G39" i="4"/>
  <c r="G16" i="4"/>
  <c r="G30" i="4"/>
  <c r="I27" i="4"/>
  <c r="H28" i="4"/>
  <c r="H25" i="4"/>
  <c r="G26" i="4"/>
  <c r="I22" i="4"/>
  <c r="H23" i="4"/>
  <c r="H20" i="4"/>
  <c r="G21" i="4"/>
  <c r="I17" i="4"/>
  <c r="H18" i="4"/>
  <c r="H15" i="4"/>
  <c r="I12" i="4"/>
  <c r="H13" i="4"/>
  <c r="H10" i="4"/>
  <c r="G11" i="4"/>
  <c r="J7" i="4"/>
  <c r="I8" i="4"/>
  <c r="G6" i="4"/>
  <c r="H5" i="4"/>
  <c r="J48" i="4"/>
  <c r="H35" i="4"/>
  <c r="J34" i="4"/>
  <c r="C16" i="3"/>
  <c r="C18" i="3" s="1"/>
  <c r="C65" i="4"/>
  <c r="D16" i="3"/>
  <c r="D18" i="3" s="1"/>
  <c r="D65" i="4"/>
  <c r="D13" i="3"/>
  <c r="D15" i="3" s="1"/>
  <c r="C64" i="4"/>
  <c r="B27" i="2" s="1"/>
  <c r="B38" i="6"/>
  <c r="B34" i="6"/>
  <c r="B39" i="6"/>
  <c r="B35" i="6"/>
  <c r="B36" i="6"/>
  <c r="B32" i="6"/>
  <c r="B40" i="3"/>
  <c r="B37" i="6"/>
  <c r="B41" i="6"/>
  <c r="B40" i="6"/>
  <c r="B33" i="6"/>
  <c r="E7" i="3"/>
  <c r="E8" i="3" s="1"/>
  <c r="F43" i="4"/>
  <c r="B4" i="7"/>
  <c r="B25" i="2"/>
  <c r="B24" i="2" s="1"/>
  <c r="B23" i="2"/>
  <c r="E44" i="4"/>
  <c r="C23" i="2"/>
  <c r="C25" i="2"/>
  <c r="C24" i="2" s="1"/>
  <c r="F51" i="4"/>
  <c r="G51" i="4" s="1"/>
  <c r="B28" i="2"/>
  <c r="D64" i="4"/>
  <c r="D23" i="2"/>
  <c r="D25" i="2"/>
  <c r="D24" i="2" s="1"/>
  <c r="B12" i="2" l="1"/>
  <c r="B13" i="2" s="1"/>
  <c r="C29" i="2"/>
  <c r="D26" i="3"/>
  <c r="C19" i="3"/>
  <c r="C40" i="3" s="1"/>
  <c r="C26" i="3"/>
  <c r="G36" i="10"/>
  <c r="G17" i="3"/>
  <c r="J6" i="10"/>
  <c r="J22" i="10"/>
  <c r="J11" i="10"/>
  <c r="J20" i="10"/>
  <c r="K10" i="10"/>
  <c r="J15" i="10"/>
  <c r="I25" i="10"/>
  <c r="I14" i="3" s="1"/>
  <c r="G35" i="10"/>
  <c r="L7" i="10"/>
  <c r="L8" i="10" s="1"/>
  <c r="K8" i="10"/>
  <c r="H34" i="10"/>
  <c r="K5" i="10"/>
  <c r="H39" i="4"/>
  <c r="H16" i="4"/>
  <c r="H30" i="4"/>
  <c r="J27" i="4"/>
  <c r="I28" i="4"/>
  <c r="I25" i="4"/>
  <c r="H26" i="4"/>
  <c r="J22" i="4"/>
  <c r="I23" i="4"/>
  <c r="I20" i="4"/>
  <c r="H21" i="4"/>
  <c r="J17" i="4"/>
  <c r="I18" i="4"/>
  <c r="I15" i="4"/>
  <c r="J12" i="4"/>
  <c r="I13" i="4"/>
  <c r="I10" i="4"/>
  <c r="H11" i="4"/>
  <c r="K7" i="4"/>
  <c r="J8" i="4"/>
  <c r="H6" i="4"/>
  <c r="I5" i="4"/>
  <c r="K34" i="4"/>
  <c r="I35" i="4"/>
  <c r="H51" i="4"/>
  <c r="K48" i="4"/>
  <c r="C26" i="2"/>
  <c r="C39" i="6"/>
  <c r="C35" i="6"/>
  <c r="D19" i="3"/>
  <c r="D41" i="6" s="1"/>
  <c r="C37" i="6"/>
  <c r="B5" i="6"/>
  <c r="C34" i="6"/>
  <c r="C41" i="6"/>
  <c r="D40" i="6"/>
  <c r="F44" i="4"/>
  <c r="B27" i="6"/>
  <c r="B23" i="6"/>
  <c r="B19" i="6"/>
  <c r="J12" i="6"/>
  <c r="F12" i="6"/>
  <c r="B12" i="6"/>
  <c r="B28" i="6"/>
  <c r="B24" i="6"/>
  <c r="B20" i="6"/>
  <c r="B25" i="6"/>
  <c r="B22" i="6"/>
  <c r="H12" i="6"/>
  <c r="C12" i="6"/>
  <c r="G12" i="6"/>
  <c r="B26" i="6"/>
  <c r="B21" i="6"/>
  <c r="E12" i="6"/>
  <c r="B39" i="3"/>
  <c r="D12" i="6"/>
  <c r="K12" i="6"/>
  <c r="I12" i="6"/>
  <c r="D26" i="2"/>
  <c r="E62" i="4"/>
  <c r="E63" i="4" s="1"/>
  <c r="E13" i="3"/>
  <c r="E15" i="3" s="1"/>
  <c r="B10" i="7"/>
  <c r="B7" i="7"/>
  <c r="D29" i="2"/>
  <c r="B26" i="2"/>
  <c r="C38" i="6" l="1"/>
  <c r="C33" i="6"/>
  <c r="B48" i="3"/>
  <c r="C40" i="6"/>
  <c r="C36" i="6"/>
  <c r="B6" i="6"/>
  <c r="B7" i="6" s="1"/>
  <c r="C32" i="6" s="1"/>
  <c r="B15" i="6" s="1"/>
  <c r="H36" i="10"/>
  <c r="H17" i="3"/>
  <c r="C27" i="2"/>
  <c r="C12" i="2" s="1"/>
  <c r="C13" i="2" s="1"/>
  <c r="K6" i="10"/>
  <c r="K22" i="10"/>
  <c r="K11" i="10"/>
  <c r="K20" i="10"/>
  <c r="L10" i="10"/>
  <c r="K15" i="10"/>
  <c r="I34" i="10"/>
  <c r="H35" i="10"/>
  <c r="J25" i="10"/>
  <c r="J14" i="3" s="1"/>
  <c r="L5" i="10"/>
  <c r="I39" i="4"/>
  <c r="I16" i="4"/>
  <c r="I30" i="4"/>
  <c r="K27" i="4"/>
  <c r="J28" i="4"/>
  <c r="J25" i="4"/>
  <c r="I26" i="4"/>
  <c r="K22" i="4"/>
  <c r="J23" i="4"/>
  <c r="J20" i="4"/>
  <c r="I21" i="4"/>
  <c r="K17" i="4"/>
  <c r="J18" i="4"/>
  <c r="J15" i="4"/>
  <c r="K12" i="4"/>
  <c r="J13" i="4"/>
  <c r="J10" i="4"/>
  <c r="I11" i="4"/>
  <c r="L7" i="4"/>
  <c r="L8" i="4" s="1"/>
  <c r="K8" i="4"/>
  <c r="I6" i="4"/>
  <c r="J5" i="4"/>
  <c r="G43" i="4"/>
  <c r="G44" i="4" s="1"/>
  <c r="G62" i="4" s="1"/>
  <c r="G63" i="4" s="1"/>
  <c r="G65" i="4" s="1"/>
  <c r="L48" i="4"/>
  <c r="L34" i="4"/>
  <c r="J35" i="4"/>
  <c r="I51" i="4"/>
  <c r="D27" i="2"/>
  <c r="B16" i="2"/>
  <c r="B17" i="2"/>
  <c r="D40" i="3"/>
  <c r="D38" i="6"/>
  <c r="D36" i="6"/>
  <c r="D39" i="6"/>
  <c r="C5" i="6"/>
  <c r="C6" i="6" s="1"/>
  <c r="C7" i="6" s="1"/>
  <c r="D33" i="6" s="1"/>
  <c r="C15" i="6" s="1"/>
  <c r="D34" i="6"/>
  <c r="D37" i="6"/>
  <c r="D35" i="6"/>
  <c r="E16" i="3"/>
  <c r="E18" i="3" s="1"/>
  <c r="E65" i="4"/>
  <c r="J11" i="7"/>
  <c r="F11" i="7"/>
  <c r="B11" i="7"/>
  <c r="I11" i="7"/>
  <c r="E11" i="7"/>
  <c r="C11" i="7"/>
  <c r="H11" i="7"/>
  <c r="K11" i="7"/>
  <c r="D11" i="7"/>
  <c r="G11" i="7"/>
  <c r="E64" i="4"/>
  <c r="B12" i="7"/>
  <c r="F62" i="4"/>
  <c r="F63" i="4" s="1"/>
  <c r="F13" i="3"/>
  <c r="F15" i="3" s="1"/>
  <c r="E19" i="3" l="1"/>
  <c r="D5" i="6" s="1"/>
  <c r="D6" i="6" s="1"/>
  <c r="D7" i="6" s="1"/>
  <c r="E34" i="6" s="1"/>
  <c r="D15" i="6" s="1"/>
  <c r="E26" i="3"/>
  <c r="I36" i="10"/>
  <c r="I17" i="3"/>
  <c r="C17" i="2"/>
  <c r="C16" i="2"/>
  <c r="L6" i="10"/>
  <c r="L22" i="10"/>
  <c r="L11" i="10"/>
  <c r="L20" i="10"/>
  <c r="L15" i="10"/>
  <c r="J34" i="10"/>
  <c r="K25" i="10"/>
  <c r="K14" i="3" s="1"/>
  <c r="I35" i="10"/>
  <c r="J39" i="4"/>
  <c r="J16" i="4"/>
  <c r="J30" i="4"/>
  <c r="L27" i="4"/>
  <c r="L28" i="4" s="1"/>
  <c r="K28" i="4"/>
  <c r="K25" i="4"/>
  <c r="J26" i="4"/>
  <c r="L22" i="4"/>
  <c r="L23" i="4" s="1"/>
  <c r="K23" i="4"/>
  <c r="K20" i="4"/>
  <c r="J21" i="4"/>
  <c r="L17" i="4"/>
  <c r="L18" i="4" s="1"/>
  <c r="K18" i="4"/>
  <c r="K15" i="4"/>
  <c r="L12" i="4"/>
  <c r="L13" i="4" s="1"/>
  <c r="K13" i="4"/>
  <c r="K10" i="4"/>
  <c r="J11" i="4"/>
  <c r="G64" i="4"/>
  <c r="I43" i="4"/>
  <c r="I44" i="4" s="1"/>
  <c r="I62" i="4" s="1"/>
  <c r="I63" i="4" s="1"/>
  <c r="J6" i="4"/>
  <c r="K5" i="4"/>
  <c r="H43" i="4"/>
  <c r="H44" i="4" s="1"/>
  <c r="H62" i="4" s="1"/>
  <c r="H63" i="4" s="1"/>
  <c r="H65" i="4" s="1"/>
  <c r="D12" i="2"/>
  <c r="D13" i="2" s="1"/>
  <c r="D16" i="2"/>
  <c r="D17" i="2"/>
  <c r="J51" i="4"/>
  <c r="K35" i="4"/>
  <c r="E40" i="3"/>
  <c r="E37" i="6"/>
  <c r="E41" i="6"/>
  <c r="F16" i="3"/>
  <c r="F18" i="3" s="1"/>
  <c r="F65" i="4"/>
  <c r="E39" i="6"/>
  <c r="E40" i="6"/>
  <c r="E38" i="6"/>
  <c r="E35" i="6"/>
  <c r="F64" i="4"/>
  <c r="C22" i="3"/>
  <c r="H21" i="3"/>
  <c r="D21" i="3"/>
  <c r="D24" i="3" s="1"/>
  <c r="G21" i="3"/>
  <c r="G13" i="3"/>
  <c r="G15" i="3" s="1"/>
  <c r="E21" i="3"/>
  <c r="F21" i="3"/>
  <c r="K21" i="3"/>
  <c r="I21" i="3"/>
  <c r="B13" i="7"/>
  <c r="L11" i="7"/>
  <c r="C21" i="3"/>
  <c r="L21" i="3"/>
  <c r="J21" i="3"/>
  <c r="E36" i="6" l="1"/>
  <c r="F19" i="3"/>
  <c r="F26" i="3"/>
  <c r="J36" i="10"/>
  <c r="J17" i="3"/>
  <c r="K34" i="10"/>
  <c r="L25" i="10"/>
  <c r="L14" i="3" s="1"/>
  <c r="J35" i="10"/>
  <c r="K39" i="4"/>
  <c r="K16" i="4"/>
  <c r="K30" i="4"/>
  <c r="L25" i="4"/>
  <c r="L26" i="4" s="1"/>
  <c r="K26" i="4"/>
  <c r="L20" i="4"/>
  <c r="L21" i="4" s="1"/>
  <c r="K21" i="4"/>
  <c r="L15" i="4"/>
  <c r="L10" i="4"/>
  <c r="L11" i="4" s="1"/>
  <c r="K11" i="4"/>
  <c r="H64" i="4"/>
  <c r="K6" i="4"/>
  <c r="L5" i="4"/>
  <c r="I65" i="4"/>
  <c r="I64" i="4"/>
  <c r="K51" i="4"/>
  <c r="L35" i="4"/>
  <c r="G16" i="3"/>
  <c r="G18" i="3" s="1"/>
  <c r="F38" i="6"/>
  <c r="F39" i="6"/>
  <c r="F37" i="6"/>
  <c r="F36" i="6"/>
  <c r="F41" i="6"/>
  <c r="F40" i="6"/>
  <c r="E5" i="6"/>
  <c r="E6" i="6" s="1"/>
  <c r="F24" i="3"/>
  <c r="F40" i="3"/>
  <c r="C23" i="3"/>
  <c r="B14" i="7"/>
  <c r="E25" i="3"/>
  <c r="E24" i="3"/>
  <c r="C25" i="3"/>
  <c r="B47" i="3" s="1"/>
  <c r="C24" i="3"/>
  <c r="I13" i="3"/>
  <c r="I15" i="3" s="1"/>
  <c r="F25" i="3"/>
  <c r="D25" i="3"/>
  <c r="H13" i="3"/>
  <c r="H15" i="3" s="1"/>
  <c r="D10" i="2" l="1"/>
  <c r="C10" i="2"/>
  <c r="B10" i="2"/>
  <c r="G19" i="3"/>
  <c r="G26" i="3"/>
  <c r="K36" i="10"/>
  <c r="K17" i="3"/>
  <c r="L34" i="10"/>
  <c r="K35" i="10"/>
  <c r="L39" i="4"/>
  <c r="L16" i="4"/>
  <c r="L30" i="4"/>
  <c r="K43" i="4"/>
  <c r="K44" i="4" s="1"/>
  <c r="K62" i="4" s="1"/>
  <c r="K63" i="4" s="1"/>
  <c r="K65" i="4" s="1"/>
  <c r="J43" i="4"/>
  <c r="J44" i="4" s="1"/>
  <c r="J62" i="4" s="1"/>
  <c r="J63" i="4" s="1"/>
  <c r="J65" i="4" s="1"/>
  <c r="L6" i="4"/>
  <c r="L51" i="4"/>
  <c r="H16" i="3"/>
  <c r="H18" i="3" s="1"/>
  <c r="I16" i="3"/>
  <c r="I18" i="3" s="1"/>
  <c r="B8" i="6"/>
  <c r="B9" i="6" s="1"/>
  <c r="C10" i="7"/>
  <c r="F27" i="6"/>
  <c r="F23" i="6"/>
  <c r="F28" i="6"/>
  <c r="F24" i="6"/>
  <c r="E10" i="6"/>
  <c r="F25" i="6"/>
  <c r="F26" i="6"/>
  <c r="F39" i="3"/>
  <c r="D25" i="6"/>
  <c r="D21" i="6"/>
  <c r="D26" i="6"/>
  <c r="D22" i="6"/>
  <c r="D28" i="6"/>
  <c r="D24" i="6"/>
  <c r="C10" i="6"/>
  <c r="D27" i="6"/>
  <c r="D23" i="6"/>
  <c r="D39" i="3"/>
  <c r="C28" i="6"/>
  <c r="C24" i="6"/>
  <c r="C20" i="6"/>
  <c r="B10" i="6"/>
  <c r="C25" i="6"/>
  <c r="C21" i="6"/>
  <c r="C26" i="6"/>
  <c r="C27" i="6"/>
  <c r="B45" i="3"/>
  <c r="C23" i="6"/>
  <c r="C22" i="6"/>
  <c r="C39" i="3"/>
  <c r="E26" i="6"/>
  <c r="E22" i="6"/>
  <c r="E27" i="6"/>
  <c r="E23" i="6"/>
  <c r="E25" i="6"/>
  <c r="D10" i="6"/>
  <c r="E24" i="6"/>
  <c r="E28" i="6"/>
  <c r="E39" i="3"/>
  <c r="G39" i="6"/>
  <c r="G40" i="6"/>
  <c r="G41" i="6"/>
  <c r="G38" i="6"/>
  <c r="F5" i="6"/>
  <c r="F6" i="6" s="1"/>
  <c r="G24" i="3"/>
  <c r="G37" i="6"/>
  <c r="G25" i="3"/>
  <c r="E7" i="6"/>
  <c r="F35" i="6" s="1"/>
  <c r="E15" i="6" s="1"/>
  <c r="I19" i="3" l="1"/>
  <c r="I40" i="3" s="1"/>
  <c r="I26" i="3"/>
  <c r="H19" i="3"/>
  <c r="H40" i="3" s="1"/>
  <c r="H26" i="3"/>
  <c r="L36" i="10"/>
  <c r="L17" i="3"/>
  <c r="L35" i="10"/>
  <c r="J64" i="4"/>
  <c r="J13" i="3"/>
  <c r="J15" i="3" s="1"/>
  <c r="L43" i="4"/>
  <c r="L44" i="4" s="1"/>
  <c r="L62" i="4" s="1"/>
  <c r="L63" i="4" s="1"/>
  <c r="L65" i="4" s="1"/>
  <c r="K64" i="4"/>
  <c r="B11" i="6"/>
  <c r="C19" i="6" s="1"/>
  <c r="K13" i="3"/>
  <c r="K15" i="3" s="1"/>
  <c r="F7" i="6"/>
  <c r="G36" i="6" s="1"/>
  <c r="F15" i="6" s="1"/>
  <c r="G28" i="6"/>
  <c r="G24" i="6"/>
  <c r="F10" i="6"/>
  <c r="G25" i="6"/>
  <c r="G27" i="6"/>
  <c r="G26" i="6"/>
  <c r="I41" i="6"/>
  <c r="H5" i="6"/>
  <c r="H6" i="6" s="1"/>
  <c r="I39" i="6"/>
  <c r="I40" i="6"/>
  <c r="I24" i="3"/>
  <c r="I39" i="3" s="1"/>
  <c r="I25" i="3"/>
  <c r="H40" i="6"/>
  <c r="H24" i="3"/>
  <c r="H39" i="3" s="1"/>
  <c r="C12" i="7"/>
  <c r="B14" i="6" l="1"/>
  <c r="P19" i="6"/>
  <c r="O19" i="6"/>
  <c r="N19" i="6"/>
  <c r="G5" i="6"/>
  <c r="G6" i="6" s="1"/>
  <c r="H39" i="6"/>
  <c r="H41" i="6"/>
  <c r="H25" i="3"/>
  <c r="H38" i="6"/>
  <c r="L64" i="4"/>
  <c r="J16" i="3"/>
  <c r="J18" i="3" s="1"/>
  <c r="B13" i="6"/>
  <c r="H25" i="6"/>
  <c r="H26" i="6"/>
  <c r="G10" i="6"/>
  <c r="H28" i="6"/>
  <c r="H27" i="6"/>
  <c r="H7" i="6"/>
  <c r="I38" i="6" s="1"/>
  <c r="D22" i="3"/>
  <c r="C13" i="7"/>
  <c r="I26" i="6"/>
  <c r="I27" i="6"/>
  <c r="H10" i="6"/>
  <c r="I28" i="6"/>
  <c r="G7" i="6"/>
  <c r="H37" i="6" s="1"/>
  <c r="G15" i="6" s="1"/>
  <c r="H15" i="6" l="1"/>
  <c r="J19" i="3"/>
  <c r="J26" i="3"/>
  <c r="J24" i="3"/>
  <c r="J28" i="6" s="1"/>
  <c r="J40" i="3"/>
  <c r="J40" i="6"/>
  <c r="J41" i="6"/>
  <c r="J25" i="3"/>
  <c r="I5" i="6"/>
  <c r="I6" i="6" s="1"/>
  <c r="I7" i="6" s="1"/>
  <c r="J39" i="6" s="1"/>
  <c r="I15" i="6" s="1"/>
  <c r="K16" i="3"/>
  <c r="K18" i="3" s="1"/>
  <c r="L13" i="3"/>
  <c r="L15" i="3" s="1"/>
  <c r="D23" i="3"/>
  <c r="C14" i="7"/>
  <c r="I10" i="6" l="1"/>
  <c r="J39" i="3"/>
  <c r="K19" i="3"/>
  <c r="K25" i="3" s="1"/>
  <c r="K26" i="3"/>
  <c r="J27" i="6"/>
  <c r="J5" i="6"/>
  <c r="J6" i="6" s="1"/>
  <c r="J7" i="6" s="1"/>
  <c r="K40" i="6" s="1"/>
  <c r="J15" i="6" s="1"/>
  <c r="K41" i="6"/>
  <c r="L16" i="3"/>
  <c r="L18" i="3" s="1"/>
  <c r="D10" i="7"/>
  <c r="C8" i="6"/>
  <c r="C9" i="6" s="1"/>
  <c r="C11" i="6" s="1"/>
  <c r="D20" i="6" s="1"/>
  <c r="N20" i="6" l="1"/>
  <c r="P20" i="6"/>
  <c r="O20" i="6"/>
  <c r="K40" i="3"/>
  <c r="K24" i="3"/>
  <c r="K39" i="3" s="1"/>
  <c r="L19" i="3"/>
  <c r="B30" i="3" s="1"/>
  <c r="B31" i="3" s="1"/>
  <c r="L26" i="3"/>
  <c r="L24" i="3"/>
  <c r="L25" i="3"/>
  <c r="C14" i="6"/>
  <c r="C13" i="6"/>
  <c r="D12" i="7"/>
  <c r="C11" i="2" l="1"/>
  <c r="K5" i="6"/>
  <c r="K6" i="6" s="1"/>
  <c r="D11" i="2"/>
  <c r="K28" i="6"/>
  <c r="J10" i="6"/>
  <c r="B35" i="3"/>
  <c r="B32" i="3"/>
  <c r="G40" i="3" s="1"/>
  <c r="K10" i="6"/>
  <c r="B46" i="3"/>
  <c r="B11" i="2" s="1"/>
  <c r="K7" i="6"/>
  <c r="L41" i="6" s="1"/>
  <c r="K15" i="6" s="1"/>
  <c r="E22" i="3"/>
  <c r="D13" i="7"/>
  <c r="L40" i="3" l="1"/>
  <c r="B43" i="3" s="1"/>
  <c r="B9" i="2" s="1"/>
  <c r="E23" i="3"/>
  <c r="D14" i="7"/>
  <c r="D9" i="2" l="1"/>
  <c r="C9" i="2"/>
  <c r="E10" i="7"/>
  <c r="D8" i="6"/>
  <c r="D9" i="6" s="1"/>
  <c r="D11" i="6" s="1"/>
  <c r="E21" i="6" s="1"/>
  <c r="P21" i="6" l="1"/>
  <c r="O21" i="6"/>
  <c r="N21" i="6"/>
  <c r="D13" i="6"/>
  <c r="D14" i="6"/>
  <c r="E12" i="7"/>
  <c r="F22" i="3" l="1"/>
  <c r="E13" i="7"/>
  <c r="F23" i="3" l="1"/>
  <c r="E14" i="7"/>
  <c r="F10" i="7" l="1"/>
  <c r="E8" i="6"/>
  <c r="E9" i="6" s="1"/>
  <c r="E11" i="6" s="1"/>
  <c r="F22" i="6" s="1"/>
  <c r="O22" i="6" l="1"/>
  <c r="P22" i="6"/>
  <c r="N22" i="6"/>
  <c r="E14" i="6"/>
  <c r="E13" i="6"/>
  <c r="F12" i="7"/>
  <c r="G22" i="3" l="1"/>
  <c r="F13" i="7"/>
  <c r="G23" i="3" l="1"/>
  <c r="F14" i="7"/>
  <c r="F8" i="6" l="1"/>
  <c r="F9" i="6" s="1"/>
  <c r="F11" i="6" s="1"/>
  <c r="G23" i="6" s="1"/>
  <c r="G10" i="7"/>
  <c r="P23" i="6" l="1"/>
  <c r="O23" i="6"/>
  <c r="N23" i="6"/>
  <c r="G12" i="7"/>
  <c r="F13" i="6"/>
  <c r="F14" i="6"/>
  <c r="G39" i="3" l="1"/>
  <c r="H22" i="3"/>
  <c r="G13" i="7"/>
  <c r="H23" i="3" l="1"/>
  <c r="G14" i="7"/>
  <c r="H10" i="7" l="1"/>
  <c r="G8" i="6"/>
  <c r="G9" i="6" s="1"/>
  <c r="G11" i="6" s="1"/>
  <c r="H24" i="6" s="1"/>
  <c r="G13" i="6" l="1"/>
  <c r="P24" i="6"/>
  <c r="O24" i="6"/>
  <c r="N24" i="6"/>
  <c r="G14" i="6"/>
  <c r="H12" i="7"/>
  <c r="I22" i="3" l="1"/>
  <c r="H13" i="7"/>
  <c r="I23" i="3" l="1"/>
  <c r="H14" i="7"/>
  <c r="I10" i="7" l="1"/>
  <c r="H8" i="6"/>
  <c r="H9" i="6" s="1"/>
  <c r="H11" i="6" s="1"/>
  <c r="I25" i="6" s="1"/>
  <c r="N25" i="6" l="1"/>
  <c r="P25" i="6"/>
  <c r="O25" i="6"/>
  <c r="H14" i="6"/>
  <c r="H13" i="6"/>
  <c r="I12" i="7"/>
  <c r="J22" i="3" l="1"/>
  <c r="I13" i="7"/>
  <c r="J23" i="3" l="1"/>
  <c r="I14" i="7"/>
  <c r="J10" i="7" l="1"/>
  <c r="I8" i="6"/>
  <c r="I9" i="6" s="1"/>
  <c r="I11" i="6" s="1"/>
  <c r="J26" i="6" s="1"/>
  <c r="O26" i="6" l="1"/>
  <c r="N26" i="6"/>
  <c r="P26" i="6"/>
  <c r="I13" i="6"/>
  <c r="I14" i="6"/>
  <c r="J12" i="7"/>
  <c r="K22" i="3" l="1"/>
  <c r="J13" i="7"/>
  <c r="K23" i="3" l="1"/>
  <c r="J14" i="7"/>
  <c r="J8" i="6" l="1"/>
  <c r="J9" i="6" s="1"/>
  <c r="J11" i="6" s="1"/>
  <c r="K27" i="6" s="1"/>
  <c r="K10" i="7"/>
  <c r="P27" i="6" l="1"/>
  <c r="N27" i="6"/>
  <c r="O27" i="6"/>
  <c r="K12" i="7"/>
  <c r="J13" i="6"/>
  <c r="J14" i="6"/>
  <c r="L22" i="3" l="1"/>
  <c r="K13" i="7"/>
  <c r="L12" i="7"/>
  <c r="L23" i="3" l="1"/>
  <c r="L13" i="7"/>
  <c r="K14" i="7"/>
  <c r="K8" i="6" l="1"/>
  <c r="K9" i="6" s="1"/>
  <c r="K11" i="6" s="1"/>
  <c r="L28" i="6" s="1"/>
  <c r="B33" i="3"/>
  <c r="K14" i="6" l="1"/>
  <c r="P28" i="6"/>
  <c r="O28" i="6"/>
  <c r="N28" i="6"/>
  <c r="K13" i="6"/>
  <c r="B29" i="2"/>
  <c r="B34" i="3"/>
  <c r="L39" i="3" s="1"/>
  <c r="B44" i="3" l="1"/>
  <c r="B14" i="2" s="1"/>
  <c r="D14" i="2"/>
  <c r="B42" i="3"/>
  <c r="C14" i="2"/>
</calcChain>
</file>

<file path=xl/sharedStrings.xml><?xml version="1.0" encoding="utf-8"?>
<sst xmlns="http://schemas.openxmlformats.org/spreadsheetml/2006/main" count="440" uniqueCount="290">
  <si>
    <t>MHP Model - Land (Major) vs POH (Minor)</t>
  </si>
  <si>
    <t>Land = tenants bring own homes, POH = park provides homes</t>
  </si>
  <si>
    <t>PLACEHOLDER INPUTS - replace every blue cell with your own deal data before using any output.</t>
  </si>
  <si>
    <t>Structure</t>
  </si>
  <si>
    <t>Actual Units</t>
  </si>
  <si>
    <t>Lot Rent ($/mo)</t>
  </si>
  <si>
    <t>Home Rent ($/mo)</t>
  </si>
  <si>
    <t>Comments</t>
  </si>
  <si>
    <t>Lot Rent - Occupied</t>
  </si>
  <si>
    <t>Lot Rent - Vacant</t>
  </si>
  <si>
    <t>POH - Occupied</t>
  </si>
  <si>
    <t>POH - Vacant</t>
  </si>
  <si>
    <t>Office - Occupied</t>
  </si>
  <si>
    <t>Office - Vacant</t>
  </si>
  <si>
    <t>Studio - Occupied</t>
  </si>
  <si>
    <t>Studio - Vacant</t>
  </si>
  <si>
    <t>SFR - Occupied</t>
  </si>
  <si>
    <t>SFR - Vacant</t>
  </si>
  <si>
    <t>SFH - Occupied</t>
  </si>
  <si>
    <t>SFH - Vacant</t>
  </si>
  <si>
    <t>Total</t>
  </si>
  <si>
    <t>Averages are reference only; model uses the rates above directly.</t>
  </si>
  <si>
    <t>BOV Summary</t>
  </si>
  <si>
    <t>KEY PERFORMANCE INDICATORS</t>
  </si>
  <si>
    <t>Base case</t>
  </si>
  <si>
    <t>Worst case</t>
  </si>
  <si>
    <t>Best case</t>
  </si>
  <si>
    <t>Income</t>
  </si>
  <si>
    <t>Investment Performance</t>
  </si>
  <si>
    <t>Unlevered IRR</t>
  </si>
  <si>
    <t>Cash-on-Cash (Year 1)</t>
  </si>
  <si>
    <t>Cash-on-Cash (Avg.)</t>
  </si>
  <si>
    <t>DSCR (Year 1)</t>
  </si>
  <si>
    <t>DSCR Test (vs. requirement)</t>
  </si>
  <si>
    <t>Equity Multiple</t>
  </si>
  <si>
    <t>Valuation Ratios (move with price)</t>
  </si>
  <si>
    <t>Going-in Cap Rate (NOI Year 1 / Price)</t>
  </si>
  <si>
    <t>Debt Yield (NOI Year 1 / Loan)</t>
  </si>
  <si>
    <t>Price per Unit</t>
  </si>
  <si>
    <t>Debt</t>
  </si>
  <si>
    <t>LTV</t>
  </si>
  <si>
    <t>Interest Rate (SOFR + Spread)</t>
  </si>
  <si>
    <t>Interest Amount (Year 1)</t>
  </si>
  <si>
    <t>Debt Service (Year 1)</t>
  </si>
  <si>
    <t>Total Debt Service over Hold</t>
  </si>
  <si>
    <t>Equity Invested</t>
  </si>
  <si>
    <t>Loan Balance at Sale</t>
  </si>
  <si>
    <t>OTHER INPUTS</t>
  </si>
  <si>
    <t>DSCR Requirement</t>
  </si>
  <si>
    <t>SOFR</t>
  </si>
  <si>
    <t>Spread</t>
  </si>
  <si>
    <t>Amortization (Years)</t>
  </si>
  <si>
    <t>Interest-Only Period (Years: 0, 1 or 2)</t>
  </si>
  <si>
    <t>POH Cap Rate</t>
  </si>
  <si>
    <t>Hold Period (Years)</t>
  </si>
  <si>
    <t>Price Step for Worst / Best Cases</t>
  </si>
  <si>
    <t>Acquisition Model - Consolidated (Land + POH)</t>
  </si>
  <si>
    <t>Land (Major) + POH (Minor) -&gt; Total NOI. Price, debt terms and hold period come from the BOV sheet.</t>
  </si>
  <si>
    <t>Assumptions</t>
  </si>
  <si>
    <t>Deal Controls (from BOV sheet)</t>
  </si>
  <si>
    <t>Total Value = Purchase Price (from BOV)</t>
  </si>
  <si>
    <t>LTV (from BOV)</t>
  </si>
  <si>
    <t>Purchase Price Used</t>
  </si>
  <si>
    <t>Interest Rate = SOFR + Spread (from BOV)</t>
  </si>
  <si>
    <t>Loan Amount</t>
  </si>
  <si>
    <t>Amort Years (from BOV)</t>
  </si>
  <si>
    <t>Exit Cap</t>
  </si>
  <si>
    <t>Selling Costs %</t>
  </si>
  <si>
    <t>Line Item</t>
  </si>
  <si>
    <t>Base Year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</si>
  <si>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</si>
  <si>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</si>
  <si>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</si>
  <si>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</si>
  <si>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</si>
  <si>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</si>
  <si>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</si>
  <si>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</si>
  <si>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</si>
  <si>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</si>
  <si>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Land Total Revenue</t>
  </si>
  <si>
    <t>POH Total Revenue</t>
  </si>
  <si>
    <t>Total Revenue</t>
  </si>
  <si>
    <t>Land Total Expenses</t>
  </si>
  <si>
    <t>POH Total Expenses</t>
  </si>
  <si>
    <t>Total Expenses</t>
  </si>
  <si>
    <t>NOI (Land + POH)</t>
  </si>
  <si>
    <t>Debt Service &amp; Levered</t>
  </si>
  <si>
    <t>Debt Service (from Debt Sheet)</t>
  </si>
  <si>
    <t>Interest</t>
  </si>
  <si>
    <t>Principal</t>
  </si>
  <si>
    <t>Levered Cash Flow (NOI - Debt Service)</t>
  </si>
  <si>
    <t>DSCR (NOI / Debt Service)</t>
  </si>
  <si>
    <t>Exit &amp; Appreciation (sale at end of hold period)</t>
  </si>
  <si>
    <t>Exit-Year NOI (trailing)</t>
  </si>
  <si>
    <t>Exit Value (NOI / Exit Cap)</t>
  </si>
  <si>
    <t>Less: Selling Costs</t>
  </si>
  <si>
    <t>Less: Ending Loan Balance</t>
  </si>
  <si>
    <t>Net Sale Proceeds</t>
  </si>
  <si>
    <t>Appreciation (Exit Value - Purchase Price)</t>
  </si>
  <si>
    <t>Cash Flow to Equity &amp; Returns</t>
  </si>
  <si>
    <t>Year</t>
  </si>
  <si>
    <t>Levered Cash Flow (incl. sale in hold year)</t>
  </si>
  <si>
    <t>Unlevered Cash Flow (incl. sale in hold year)</t>
  </si>
  <si>
    <t>Levered IRR</t>
  </si>
  <si>
    <t>Cash-on-Cash (Avg. over hold)</t>
  </si>
  <si>
    <t>Going-in Cap Rate (Year 1 NOI / Price)</t>
  </si>
  <si>
    <t>Land - Lot Only (Major Income)</t>
  </si>
  <si>
    <t>Occupancy ramps by Lease-Up/Yr (col P) up to Total Units (col O). Revenue = potential less vacancy less bad debt.</t>
  </si>
  <si>
    <t>Head / Category</t>
  </si>
  <si>
    <t>Year 1 Occupied</t>
  </si>
  <si>
    <t>Year 2 Occupied</t>
  </si>
  <si>
    <t>Year 3 Occupied</t>
  </si>
  <si>
    <t>Year 4 Occupied</t>
  </si>
  <si>
    <t>Year 5 Occupied</t>
  </si>
  <si>
    <t>Year 6 Occupied</t>
  </si>
  <si>
    <t>Year 7 Occupied</t>
  </si>
  <si>
    <t>Year 8 Occupied</t>
  </si>
  <si>
    <t>Year 9 Occupied</t>
  </si>
  <si>
    <t>Year 10 Occupied</t>
  </si>
  <si>
    <t>Base Year Vacant</t>
  </si>
  <si>
    <t>Total Units</t>
  </si>
  <si>
    <t>Lease-Up / Yr</t>
  </si>
  <si>
    <t>Total Occupied Units</t>
  </si>
  <si>
    <t>SECTION 2: REVENUE - Gross Potential less Vacancy (Base Year = actual occupancy)</t>
  </si>
  <si>
    <t>Revenue Head</t>
  </si>
  <si>
    <t>Base Year (Actual)</t>
  </si>
  <si>
    <t>Year 1 Revenue</t>
  </si>
  <si>
    <t>Year 2 Revenue</t>
  </si>
  <si>
    <t>Year 3 Revenue</t>
  </si>
  <si>
    <t>Year 4 Revenue</t>
  </si>
  <si>
    <t>Year 5 Revenue</t>
  </si>
  <si>
    <t>Year 6 Revenue</t>
  </si>
  <si>
    <t>Year 7 Revenue</t>
  </si>
  <si>
    <t>Year 8 Revenue</t>
  </si>
  <si>
    <t>Year 9 Revenue</t>
  </si>
  <si>
    <t>Year 10 Revenue</t>
  </si>
  <si>
    <t>Growth % (per head)</t>
  </si>
  <si>
    <t>Less: Vacancy Loss</t>
  </si>
  <si>
    <t>Vacancy = vacant units / total units x potential rent, by head</t>
  </si>
  <si>
    <t>Less: Non-Cash Rent (enter as negative)</t>
  </si>
  <si>
    <t>Less: Concessions / Free Rent (enter as negative)</t>
  </si>
  <si>
    <t>Less: Bad Debt</t>
  </si>
  <si>
    <t>&lt;- bad debt % of effective rent</t>
  </si>
  <si>
    <t>SECTION 3: EXPENSES</t>
  </si>
  <si>
    <t>Expense Head</t>
  </si>
  <si>
    <t>Growth %</t>
  </si>
  <si>
    <t>Rate A</t>
  </si>
  <si>
    <t>Rate B / Count</t>
  </si>
  <si>
    <t>Est. Base Year</t>
  </si>
  <si>
    <t>Property Tax</t>
  </si>
  <si>
    <t>Insurance</t>
  </si>
  <si>
    <t>If actual known, type it in column B. Otherwise B = Q ($/unit/mo x occupied units x 12).</t>
  </si>
  <si>
    <t>Sewer</t>
  </si>
  <si>
    <t>Property Management Fee</t>
  </si>
  <si>
    <t>NOI</t>
  </si>
  <si>
    <t>POH Repairs</t>
  </si>
  <si>
    <t>POH Insurance</t>
  </si>
  <si>
    <t>Other POH Expenses</t>
  </si>
  <si>
    <t>IRR - Returns by Exit Year</t>
  </si>
  <si>
    <t>What the deal returns if sold at the end of each year (1-10), using the Acquisition Model assumptions.</t>
  </si>
  <si>
    <t>Sale Year</t>
  </si>
  <si>
    <t>Exit NOI (trailing)</t>
  </si>
  <si>
    <t>Gross Exit Value</t>
  </si>
  <si>
    <t>Selling Costs</t>
  </si>
  <si>
    <t>Ending Loan Balance</t>
  </si>
  <si>
    <t>Levered Cash Flow in Sale Year</t>
  </si>
  <si>
    <t>Total Cash Flow in Sale Year</t>
  </si>
  <si>
    <t>Levered cash flow to equity by exit year</t>
  </si>
  <si>
    <t>Exit Year  /  Period</t>
  </si>
  <si>
    <t>Unlevered cash flow by exit year</t>
  </si>
  <si>
    <t>Debt Amortization - Years on X-Axis</t>
  </si>
  <si>
    <t>Loan Amount (from BOV)</t>
  </si>
  <si>
    <t>Annual Rate (from BOV)</t>
  </si>
  <si>
    <t>PMT (Annual Payment, after IO period)</t>
  </si>
  <si>
    <t>Interest-Only Years (from BOV)</t>
  </si>
  <si>
    <t>Variables / Year -&gt;</t>
  </si>
  <si>
    <t>Beginning Balance</t>
  </si>
  <si>
    <t>Payment (PMT)</t>
  </si>
  <si>
    <t>Ending Balance</t>
  </si>
  <si>
    <t>Annual payments, annual compounding (simplified). During an interest-only year the payment equals interest and the balance does not fall. Remaining balance after the hold year is the loan balance at sale.</t>
  </si>
  <si>
    <t>Property Tax Working</t>
  </si>
  <si>
    <t>State</t>
  </si>
  <si>
    <t>Parcel Number</t>
  </si>
  <si>
    <t>Tax Amount ($)</t>
  </si>
  <si>
    <t>%</t>
  </si>
  <si>
    <t>County</t>
  </si>
  <si>
    <t>Owner Name</t>
  </si>
  <si>
    <t>Expense Ratio</t>
  </si>
  <si>
    <t>RTO - Rent-to-Own Home Schedule</t>
  </si>
  <si>
    <t>10 RTO homes; $500/month home rent; 10-year lease term. Revenue is linked into the POH sheet.</t>
  </si>
  <si>
    <t>Number of RTO Homes</t>
  </si>
  <si>
    <t>Home Rent / Month</t>
  </si>
  <si>
    <t>Lease Term (Years)</t>
  </si>
  <si>
    <t>Rent Growth %</t>
  </si>
  <si>
    <t>Base Year RTO Rent</t>
  </si>
  <si>
    <t>RTO Unit</t>
  </si>
  <si>
    <t>Annual Rent</t>
  </si>
  <si>
    <t>Lease Term</t>
  </si>
  <si>
    <t>Ownership Transfer Year</t>
  </si>
  <si>
    <t>Base Year Rent</t>
  </si>
  <si>
    <t>10-Year Total</t>
  </si>
  <si>
    <t>Total RTO Rent</t>
  </si>
  <si>
    <t>RTO homes transfer after Year 10 only if the actual RTO agreements provide for ownership transfer.</t>
  </si>
  <si>
    <t>Link used by POH sheet</t>
  </si>
  <si>
    <t>RTO</t>
  </si>
  <si>
    <t xml:space="preserve">Lot Rent </t>
  </si>
  <si>
    <t xml:space="preserve">Office Rent </t>
  </si>
  <si>
    <t xml:space="preserve">Studio Rent </t>
  </si>
  <si>
    <t xml:space="preserve">SFR Rent </t>
  </si>
  <si>
    <t xml:space="preserve">SFH Rent </t>
  </si>
  <si>
    <t xml:space="preserve">Occupancy </t>
  </si>
  <si>
    <t>Average Rent</t>
  </si>
  <si>
    <t>Rent Increase (%)</t>
  </si>
  <si>
    <t>Occupied Lots</t>
  </si>
  <si>
    <t>Occupied Office</t>
  </si>
  <si>
    <t>Occupied Studio</t>
  </si>
  <si>
    <t>Occupied SFR</t>
  </si>
  <si>
    <t>Occupied SFH</t>
  </si>
  <si>
    <t xml:space="preserve">Utility Recapture </t>
  </si>
  <si>
    <t xml:space="preserve">Advertising </t>
  </si>
  <si>
    <t xml:space="preserve">Utilities </t>
  </si>
  <si>
    <t xml:space="preserve">Electricity </t>
  </si>
  <si>
    <t xml:space="preserve">Water </t>
  </si>
  <si>
    <t>Trash</t>
  </si>
  <si>
    <t>Gas</t>
  </si>
  <si>
    <t>Repairs &amp; Maintenance</t>
  </si>
  <si>
    <t>Administrative / G&amp;A</t>
  </si>
  <si>
    <t>Legal &amp; Professional</t>
  </si>
  <si>
    <t>Licenses &amp; Permits</t>
  </si>
  <si>
    <t>Other Operating Expenses</t>
  </si>
  <si>
    <t xml:space="preserve">Recapture Rate </t>
  </si>
  <si>
    <t xml:space="preserve">Occupied POH </t>
  </si>
  <si>
    <t>Occupied RV</t>
  </si>
  <si>
    <t>RV - Occupied</t>
  </si>
  <si>
    <t>RV - Vacant</t>
  </si>
  <si>
    <t xml:space="preserve">POH Rent </t>
  </si>
  <si>
    <t xml:space="preserve">RV Rent </t>
  </si>
  <si>
    <t xml:space="preserve">RTO </t>
  </si>
  <si>
    <t>Average POH Rent</t>
  </si>
  <si>
    <t>Average RV Rent</t>
  </si>
  <si>
    <t>A04</t>
  </si>
  <si>
    <t>A05</t>
  </si>
  <si>
    <t>A06</t>
  </si>
  <si>
    <t>A07</t>
  </si>
  <si>
    <t>A10</t>
  </si>
  <si>
    <t>A11</t>
  </si>
  <si>
    <t>A16</t>
  </si>
  <si>
    <t>B02</t>
  </si>
  <si>
    <t>B08</t>
  </si>
  <si>
    <t>C02</t>
  </si>
  <si>
    <t>C03</t>
  </si>
  <si>
    <t>C05</t>
  </si>
  <si>
    <t>C07</t>
  </si>
  <si>
    <t>D01</t>
  </si>
  <si>
    <t>D02</t>
  </si>
  <si>
    <t>D05</t>
  </si>
  <si>
    <t>F03</t>
  </si>
  <si>
    <t>F08</t>
  </si>
  <si>
    <t>F09</t>
  </si>
  <si>
    <t>F10</t>
  </si>
  <si>
    <t xml:space="preserve">POH Expense </t>
  </si>
  <si>
    <t xml:space="preserve">Park Value </t>
  </si>
  <si>
    <t>Acres</t>
  </si>
  <si>
    <t>Address</t>
  </si>
  <si>
    <t>Limestone County</t>
  </si>
  <si>
    <t xml:space="preserve">City </t>
  </si>
  <si>
    <t>Athens</t>
  </si>
  <si>
    <t>Alabama (AL)</t>
  </si>
  <si>
    <t xml:space="preserve">Parcel Link </t>
  </si>
  <si>
    <t xml:space="preserve">Map Link </t>
  </si>
  <si>
    <t xml:space="preserve">Assessed Amount </t>
  </si>
  <si>
    <t xml:space="preserve">Total </t>
  </si>
  <si>
    <t>Unpaid</t>
  </si>
  <si>
    <t>https://limestonerevenue.net/propsearch</t>
  </si>
  <si>
    <t>.</t>
  </si>
  <si>
    <t>PARTICULARS</t>
  </si>
  <si>
    <t>Status</t>
  </si>
  <si>
    <t xml:space="preserve">Total Value </t>
  </si>
  <si>
    <t xml:space="preserve">NOI </t>
  </si>
  <si>
    <t xml:space="preserve">Debt Service after IO Period </t>
  </si>
  <si>
    <t xml:space="preserve">Interest Rate </t>
  </si>
  <si>
    <t xml:space="preserve">Loan Amount </t>
  </si>
  <si>
    <t>Pine Ridge Holdings LLC</t>
  </si>
  <si>
    <t>1250 County Road 18
Athens, AL 35611</t>
  </si>
  <si>
    <t>https://limestonerevenue.net/parcelviewer/</t>
  </si>
  <si>
    <t>00 00 00 0 000 000.000</t>
  </si>
  <si>
    <t>IRR</t>
  </si>
  <si>
    <t>EM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</si>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</sst>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6" formatCode="&quot;$&quot;#,##0_);[Red]\(&quot;$&quot;#,##0\)"/>
    <numFmt numFmtId="164" formatCode="\$#,##0;&quot;($&quot;#,##0\);\-"/>
    <numFmt numFmtId="165" formatCode="0.0%"/>
    <numFmt numFmtId="166" formatCode="0.00\x"/>
    <numFmt numFmtId="167" formatCode="&quot;Year &quot;0"/>
    <numFmt numFmtId="168" formatCode="&quot;Sell in Year &quot;0"/>
    <numFmt numFmtId="169" formatCode="\$#,##0.00"/>
    <numFmt numFmtId="170" formatCode="&quot;POH Value&quot;"/>
    <numFmt numFmtId="171" formatCode="&quot;$&quot;#,##0"/>
    <numFmt numFmtId="172" formatCode="0.00000000000000"/>
    <numFmt numFmtId="173" formatCode="0.0%;\(0.0%\);\-"/>
  </numFmts>
  <fonts count="29" x14ac:knownFonts="1">
    <font>
      <sz val="11"/>
      <color theme="1"/>
      <name val="Calibri"/>
      <family val="2"/>
      <charset val="1"/>
    </font>
    <font>
      <b/>
      <sz val="15"/>
      <color rgb="FF1F3864"/>
      <name val="Arial"/>
      <family val="2"/>
    </font>
    <font>
      <sz val="10"/>
      <color rgb="FF000000"/>
      <name val="Arial"/>
      <family val="2"/>
    </font>
    <font>
      <i/>
      <sz val="9"/>
      <color rgb="FF595959"/>
      <name val="Arial"/>
      <family val="2"/>
    </font>
    <font>
      <b/>
      <sz val="10"/>
      <color rgb="FF1F3864"/>
      <name val="Arial"/>
      <family val="2"/>
    </font>
    <font>
      <b/>
      <sz val="10"/>
      <color rgb="FF0000FF"/>
      <name val="Arial"/>
      <family val="2"/>
    </font>
    <font>
      <b/>
      <sz val="10"/>
      <color rgb="FF000000"/>
      <name val="Arial"/>
      <family val="2"/>
    </font>
    <font>
      <b/>
      <sz val="10"/>
      <color rgb="FFFFFFFF"/>
      <name val="Arial"/>
      <family val="2"/>
    </font>
    <font>
      <sz val="10"/>
      <color rgb="FF008000"/>
      <name val="Arial"/>
      <family val="2"/>
    </font>
    <font>
      <b/>
      <sz val="10"/>
      <color rgb="FF000000"/>
      <name val="Arial"/>
      <family val="2"/>
    </font>
    <font>
      <sz val="11"/>
      <color theme="1"/>
      <name val="Calibri"/>
      <family val="2"/>
      <charset val="1"/>
    </font>
    <font>
      <i/>
      <sz val="8"/>
      <color rgb="FF000000"/>
      <name val="Arial"/>
      <family val="2"/>
    </font>
    <font>
      <i/>
      <sz val="8"/>
      <color theme="1"/>
      <name val="Calibri"/>
      <family val="2"/>
    </font>
    <font>
      <b/>
      <sz val="11"/>
      <name val="Calibri"/>
      <family val="2"/>
    </font>
    <font>
      <i/>
      <sz val="11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  <charset val="1"/>
    </font>
    <font>
      <b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theme="1"/>
      <name val="Arial"/>
      <family val="2"/>
    </font>
    <font>
      <b/>
      <sz val="16"/>
      <color rgb="FF1F3864"/>
      <name val="Arial"/>
      <family val="2"/>
    </font>
    <font>
      <sz val="16"/>
      <color theme="1"/>
      <name val="Calibri"/>
      <family val="2"/>
      <charset val="1"/>
    </font>
    <font>
      <i/>
      <sz val="9"/>
      <color theme="0" tint="-0.499984740745262"/>
      <name val="Arial"/>
      <family val="2"/>
    </font>
    <font>
      <i/>
      <sz val="10"/>
      <color theme="0" tint="-0.499984740745262"/>
      <name val="Calibri"/>
      <family val="2"/>
    </font>
    <font>
      <u/>
      <sz val="11"/>
      <color theme="10"/>
      <name val="Calibri"/>
      <family val="2"/>
      <charset val="1"/>
    </font>
    <font>
      <b/>
      <sz val="8"/>
      <color rgb="FF000000"/>
      <name val="Arial"/>
      <family val="2"/>
    </font>
    <font>
      <sz val="8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D9E2F3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1F3864"/>
        <bgColor rgb="FF333333"/>
      </patternFill>
    </fill>
    <fill>
      <patternFill patternType="solid">
        <fgColor rgb="FFC6E0B4"/>
        <bgColor rgb="FFD9E2F3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FFFFFF"/>
      </patternFill>
    </fill>
    <fill>
      <patternFill patternType="solid">
        <fgColor rgb="FFD9E1F2"/>
        <bgColor rgb="FFD9D9D9"/>
      </patternFill>
    </fill>
  </fills>
  <borders count="9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808080"/>
      </bottom>
      <diagonal/>
    </border>
  </borders>
  <cellStyleXfs count="4">
    <xf numFmtId="0" fontId="0" fillId="0" borderId="0"/>
    <xf numFmtId="9" fontId="10" fillId="0" borderId="0" applyFont="0" applyFill="0" applyBorder="0" applyAlignment="0" applyProtection="0"/>
    <xf numFmtId="0" fontId="10" fillId="0" borderId="0"/>
    <xf numFmtId="0" fontId="26" fillId="0" borderId="0" applyNumberFormat="0" applyFill="0" applyBorder="0" applyAlignment="0" applyProtection="0"/>
  </cellStyleXfs>
  <cellXfs count="9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1" fontId="5" fillId="3" borderId="0" xfId="0" applyNumberFormat="1" applyFont="1" applyFill="1"/>
    <xf numFmtId="164" fontId="5" fillId="3" borderId="0" xfId="0" applyNumberFormat="1" applyFont="1" applyFill="1"/>
    <xf numFmtId="0" fontId="6" fillId="4" borderId="0" xfId="0" applyFont="1" applyFill="1"/>
    <xf numFmtId="1" fontId="6" fillId="4" borderId="0" xfId="0" applyNumberFormat="1" applyFont="1" applyFill="1"/>
    <xf numFmtId="164" fontId="6" fillId="4" borderId="0" xfId="0" applyNumberFormat="1" applyFont="1" applyFill="1"/>
    <xf numFmtId="0" fontId="7" fillId="5" borderId="0" xfId="0" applyFont="1" applyFill="1" applyAlignment="1">
      <alignment horizontal="center" vertical="center" wrapText="1"/>
    </xf>
    <xf numFmtId="0" fontId="6" fillId="0" borderId="0" xfId="0" applyFont="1"/>
    <xf numFmtId="1" fontId="8" fillId="0" borderId="0" xfId="0" applyNumberFormat="1" applyFont="1"/>
    <xf numFmtId="1" fontId="2" fillId="0" borderId="0" xfId="0" applyNumberFormat="1" applyFont="1"/>
    <xf numFmtId="164" fontId="2" fillId="0" borderId="0" xfId="0" applyNumberFormat="1" applyFont="1"/>
    <xf numFmtId="165" fontId="5" fillId="3" borderId="0" xfId="0" applyNumberFormat="1" applyFont="1" applyFill="1"/>
    <xf numFmtId="0" fontId="6" fillId="6" borderId="0" xfId="0" applyFont="1" applyFill="1"/>
    <xf numFmtId="164" fontId="6" fillId="6" borderId="0" xfId="0" applyNumberFormat="1" applyFont="1" applyFill="1"/>
    <xf numFmtId="164" fontId="8" fillId="3" borderId="0" xfId="0" applyNumberFormat="1" applyFont="1" applyFill="1"/>
    <xf numFmtId="165" fontId="8" fillId="3" borderId="0" xfId="0" applyNumberFormat="1" applyFont="1" applyFill="1"/>
    <xf numFmtId="10" fontId="8" fillId="3" borderId="0" xfId="0" applyNumberFormat="1" applyFont="1" applyFill="1"/>
    <xf numFmtId="1" fontId="8" fillId="3" borderId="0" xfId="0" applyNumberFormat="1" applyFont="1" applyFill="1"/>
    <xf numFmtId="164" fontId="8" fillId="0" borderId="0" xfId="0" applyNumberFormat="1" applyFont="1"/>
    <xf numFmtId="166" fontId="2" fillId="0" borderId="0" xfId="0" applyNumberFormat="1" applyFont="1"/>
    <xf numFmtId="1" fontId="7" fillId="5" borderId="0" xfId="0" applyNumberFormat="1" applyFont="1" applyFill="1" applyAlignment="1">
      <alignment horizontal="center" vertical="center" wrapText="1"/>
    </xf>
    <xf numFmtId="165" fontId="6" fillId="6" borderId="0" xfId="0" applyNumberFormat="1" applyFont="1" applyFill="1"/>
    <xf numFmtId="166" fontId="6" fillId="6" borderId="0" xfId="0" applyNumberFormat="1" applyFont="1" applyFill="1"/>
    <xf numFmtId="10" fontId="8" fillId="0" borderId="0" xfId="0" applyNumberFormat="1" applyFont="1"/>
    <xf numFmtId="0" fontId="7" fillId="5" borderId="0" xfId="0" applyFont="1" applyFill="1" applyAlignment="1">
      <alignment horizontal="left" vertical="center"/>
    </xf>
    <xf numFmtId="165" fontId="8" fillId="0" borderId="0" xfId="0" applyNumberFormat="1" applyFont="1"/>
    <xf numFmtId="165" fontId="2" fillId="0" borderId="0" xfId="0" applyNumberFormat="1" applyFont="1"/>
    <xf numFmtId="0" fontId="2" fillId="0" borderId="0" xfId="0" applyFont="1" applyAlignment="1">
      <alignment horizontal="right"/>
    </xf>
    <xf numFmtId="166" fontId="8" fillId="0" borderId="0" xfId="0" applyNumberFormat="1" applyFont="1"/>
    <xf numFmtId="10" fontId="2" fillId="0" borderId="0" xfId="0" applyNumberFormat="1" applyFont="1"/>
    <xf numFmtId="166" fontId="5" fillId="3" borderId="0" xfId="0" applyNumberFormat="1" applyFont="1" applyFill="1"/>
    <xf numFmtId="10" fontId="5" fillId="3" borderId="0" xfId="0" applyNumberFormat="1" applyFont="1" applyFill="1"/>
    <xf numFmtId="0" fontId="7" fillId="5" borderId="2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167" fontId="7" fillId="5" borderId="0" xfId="0" applyNumberFormat="1" applyFont="1" applyFill="1" applyAlignment="1">
      <alignment horizontal="center" vertical="center" wrapText="1"/>
    </xf>
    <xf numFmtId="168" fontId="9" fillId="0" borderId="0" xfId="0" applyNumberFormat="1" applyFont="1"/>
    <xf numFmtId="0" fontId="11" fillId="0" borderId="0" xfId="0" applyFont="1"/>
    <xf numFmtId="165" fontId="12" fillId="0" borderId="0" xfId="1" applyNumberFormat="1" applyFont="1"/>
    <xf numFmtId="1" fontId="8" fillId="7" borderId="0" xfId="0" applyNumberFormat="1" applyFont="1" applyFill="1"/>
    <xf numFmtId="164" fontId="2" fillId="7" borderId="0" xfId="0" applyNumberFormat="1" applyFont="1" applyFill="1"/>
    <xf numFmtId="164" fontId="8" fillId="7" borderId="0" xfId="0" applyNumberFormat="1" applyFont="1" applyFill="1"/>
    <xf numFmtId="164" fontId="6" fillId="8" borderId="0" xfId="0" applyNumberFormat="1" applyFont="1" applyFill="1"/>
    <xf numFmtId="0" fontId="13" fillId="0" borderId="0" xfId="0" applyFont="1"/>
    <xf numFmtId="0" fontId="5" fillId="3" borderId="0" xfId="0" applyFont="1" applyFill="1"/>
    <xf numFmtId="1" fontId="14" fillId="0" borderId="0" xfId="0" applyNumberFormat="1" applyFont="1"/>
    <xf numFmtId="169" fontId="0" fillId="0" borderId="0" xfId="0" applyNumberFormat="1"/>
    <xf numFmtId="1" fontId="5" fillId="3" borderId="0" xfId="0" applyNumberFormat="1" applyFont="1" applyFill="1" applyAlignment="1">
      <alignment horizontal="center"/>
    </xf>
    <xf numFmtId="1" fontId="6" fillId="4" borderId="0" xfId="0" applyNumberFormat="1" applyFont="1" applyFill="1" applyAlignment="1">
      <alignment horizontal="center"/>
    </xf>
    <xf numFmtId="0" fontId="7" fillId="5" borderId="0" xfId="0" applyFont="1" applyFill="1" applyAlignment="1">
      <alignment horizontal="right"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right" vertical="center" wrapText="1"/>
    </xf>
    <xf numFmtId="0" fontId="6" fillId="0" borderId="0" xfId="2" applyFont="1"/>
    <xf numFmtId="9" fontId="8" fillId="0" borderId="0" xfId="1" applyFont="1"/>
    <xf numFmtId="9" fontId="2" fillId="0" borderId="0" xfId="1" applyFont="1"/>
    <xf numFmtId="164" fontId="15" fillId="0" borderId="0" xfId="0" applyNumberFormat="1" applyFont="1"/>
    <xf numFmtId="9" fontId="16" fillId="0" borderId="0" xfId="1" applyFont="1" applyAlignment="1">
      <alignment horizontal="left"/>
    </xf>
    <xf numFmtId="3" fontId="0" fillId="0" borderId="0" xfId="0" applyNumberFormat="1"/>
    <xf numFmtId="3" fontId="16" fillId="0" borderId="0" xfId="0" applyNumberFormat="1" applyFont="1"/>
    <xf numFmtId="0" fontId="16" fillId="0" borderId="0" xfId="0" applyFont="1" applyAlignment="1">
      <alignment horizontal="center"/>
    </xf>
    <xf numFmtId="169" fontId="16" fillId="0" borderId="0" xfId="0" applyNumberFormat="1" applyFont="1"/>
    <xf numFmtId="0" fontId="18" fillId="0" borderId="1" xfId="0" applyFont="1" applyBorder="1" applyAlignment="1">
      <alignment horizontal="left" vertical="center"/>
    </xf>
    <xf numFmtId="0" fontId="19" fillId="7" borderId="1" xfId="0" applyFont="1" applyFill="1" applyBorder="1" applyAlignment="1">
      <alignment vertical="center"/>
    </xf>
    <xf numFmtId="0" fontId="20" fillId="7" borderId="1" xfId="0" applyFont="1" applyFill="1" applyBorder="1" applyAlignment="1">
      <alignment vertical="center"/>
    </xf>
    <xf numFmtId="0" fontId="21" fillId="0" borderId="1" xfId="0" applyFont="1" applyBorder="1"/>
    <xf numFmtId="6" fontId="21" fillId="0" borderId="1" xfId="0" applyNumberFormat="1" applyFont="1" applyBorder="1"/>
    <xf numFmtId="6" fontId="21" fillId="0" borderId="3" xfId="0" applyNumberFormat="1" applyFont="1" applyBorder="1"/>
    <xf numFmtId="0" fontId="17" fillId="0" borderId="0" xfId="0" applyFont="1"/>
    <xf numFmtId="0" fontId="16" fillId="0" borderId="4" xfId="0" applyFont="1" applyBorder="1"/>
    <xf numFmtId="6" fontId="16" fillId="0" borderId="4" xfId="0" applyNumberFormat="1" applyFont="1" applyBorder="1"/>
    <xf numFmtId="0" fontId="22" fillId="0" borderId="0" xfId="0" applyFont="1"/>
    <xf numFmtId="0" fontId="23" fillId="0" borderId="0" xfId="0" applyFont="1"/>
    <xf numFmtId="0" fontId="7" fillId="5" borderId="1" xfId="0" applyFont="1" applyFill="1" applyBorder="1" applyAlignment="1">
      <alignment horizontal="left" vertical="center"/>
    </xf>
    <xf numFmtId="0" fontId="21" fillId="0" borderId="1" xfId="0" applyFont="1" applyBorder="1" applyAlignment="1">
      <alignment horizontal="center"/>
    </xf>
    <xf numFmtId="0" fontId="21" fillId="0" borderId="3" xfId="0" applyFont="1" applyBorder="1" applyAlignment="1">
      <alignment horizontal="center"/>
    </xf>
    <xf numFmtId="0" fontId="16" fillId="0" borderId="4" xfId="0" applyFont="1" applyBorder="1" applyAlignment="1">
      <alignment horizontal="center"/>
    </xf>
    <xf numFmtId="0" fontId="7" fillId="5" borderId="1" xfId="0" applyFont="1" applyFill="1" applyBorder="1" applyAlignment="1">
      <alignment horizontal="right" vertical="center"/>
    </xf>
    <xf numFmtId="165" fontId="21" fillId="7" borderId="1" xfId="1" applyNumberFormat="1" applyFont="1" applyFill="1" applyBorder="1" applyAlignment="1">
      <alignment horizontal="center"/>
    </xf>
    <xf numFmtId="165" fontId="21" fillId="7" borderId="3" xfId="1" applyNumberFormat="1" applyFont="1" applyFill="1" applyBorder="1" applyAlignment="1">
      <alignment horizontal="center"/>
    </xf>
    <xf numFmtId="0" fontId="15" fillId="0" borderId="0" xfId="0" applyFont="1"/>
    <xf numFmtId="170" fontId="2" fillId="0" borderId="0" xfId="0" applyNumberFormat="1" applyFont="1" applyAlignment="1">
      <alignment horizontal="left"/>
    </xf>
    <xf numFmtId="171" fontId="2" fillId="0" borderId="0" xfId="0" applyNumberFormat="1" applyFont="1"/>
    <xf numFmtId="0" fontId="24" fillId="0" borderId="0" xfId="0" applyFont="1"/>
    <xf numFmtId="9" fontId="25" fillId="0" borderId="0" xfId="1" applyFont="1"/>
    <xf numFmtId="0" fontId="26" fillId="7" borderId="1" xfId="3" applyFill="1" applyBorder="1" applyAlignment="1">
      <alignment vertical="center"/>
    </xf>
    <xf numFmtId="172" fontId="0" fillId="0" borderId="0" xfId="0" applyNumberFormat="1"/>
    <xf numFmtId="165" fontId="6" fillId="0" borderId="0" xfId="0" applyNumberFormat="1" applyFont="1"/>
    <xf numFmtId="164" fontId="5" fillId="0" borderId="0" xfId="0" applyNumberFormat="1" applyFont="1"/>
    <xf numFmtId="168" fontId="9" fillId="0" borderId="5" xfId="0" applyNumberFormat="1" applyFont="1" applyBorder="1"/>
    <xf numFmtId="164" fontId="2" fillId="0" borderId="5" xfId="0" applyNumberFormat="1" applyFont="1" applyBorder="1"/>
    <xf numFmtId="168" fontId="9" fillId="0" borderId="6" xfId="0" applyNumberFormat="1" applyFont="1" applyBorder="1"/>
    <xf numFmtId="164" fontId="2" fillId="0" borderId="6" xfId="0" applyNumberFormat="1" applyFont="1" applyBorder="1"/>
    <xf numFmtId="0" fontId="27" fillId="9" borderId="7" xfId="0" applyFont="1" applyFill="1" applyBorder="1" applyAlignment="1">
      <alignment horizontal="center" vertical="center"/>
    </xf>
    <xf numFmtId="173" fontId="28" fillId="0" borderId="8" xfId="0" applyNumberFormat="1" applyFont="1" applyBorder="1"/>
    <xf numFmtId="166" fontId="28" fillId="0" borderId="8" xfId="0" applyNumberFormat="1" applyFont="1" applyBorder="1"/>
    <xf numFmtId="164" fontId="28" fillId="0" borderId="8" xfId="0" applyNumberFormat="1" applyFont="1" applyBorder="1"/>
  </cellXfs>
  <cellStyles count="4">
    <cellStyle name="Hyperlink" xfId="3" builtinId="8"/>
    <cellStyle name="Normal" xfId="0" builtinId="0"/>
    <cellStyle name="Normal 2" xfId="2" xr:uid="{9FF48D76-D943-4B4F-B3E3-81D0253C36FA}"/>
    <cellStyle name="Percent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4976C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hyperlink" Target="https://limestonerevenue.net/parcelviewer/" TargetMode="External"/><Relationship Id="rId1" Type="http://schemas.openxmlformats.org/officeDocument/2006/relationships/hyperlink" Target="https://limestonerevenue.net/propsearc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showGridLines="0" zoomScaleNormal="100" workbookViewId="0">
      <selection activeCell="A10" sqref="A10"/>
    </sheetView>
  </sheetViews>
  <sheetFormatPr defaultColWidth="8.7109375" defaultRowHeight="15" x14ac:dyDescent="0.25"/>
  <cols>
    <col min="1" max="1" width="24" customWidth="1"/>
    <col min="2" max="2" width="14" customWidth="1"/>
    <col min="3" max="3" width="14.85546875" bestFit="1" customWidth="1"/>
    <col min="4" max="4" width="17.42578125" bestFit="1" customWidth="1"/>
    <col min="5" max="5" width="10.5703125" bestFit="1" customWidth="1"/>
  </cols>
  <sheetData>
    <row r="1" spans="1:5" ht="18" customHeight="1" x14ac:dyDescent="0.3">
      <c r="A1" s="1" t="s">
        <v>0</v>
      </c>
    </row>
    <row r="2" spans="1:5" ht="15" customHeight="1" x14ac:dyDescent="0.25">
      <c r="A2" s="2" t="s">
        <v>1</v>
      </c>
    </row>
    <row r="3" spans="1:5" ht="15" customHeight="1" x14ac:dyDescent="0.25">
      <c r="A3" s="3" t="s">
        <v>2</v>
      </c>
    </row>
    <row r="4" spans="1:5" ht="15" customHeight="1" x14ac:dyDescent="0.2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</row>
    <row r="5" spans="1:5" ht="15" customHeight="1" x14ac:dyDescent="0.25">
      <c r="A5" s="2" t="s">
        <v>8</v>
      </c>
      <c r="B5" s="50">
        <v>17</v>
      </c>
      <c r="C5" s="6">
        <v>275</v>
      </c>
    </row>
    <row r="6" spans="1:5" ht="15" customHeight="1" x14ac:dyDescent="0.25">
      <c r="A6" s="2" t="s">
        <v>9</v>
      </c>
      <c r="B6" s="50">
        <v>14</v>
      </c>
    </row>
    <row r="7" spans="1:5" ht="15" customHeight="1" x14ac:dyDescent="0.25">
      <c r="A7" s="2" t="s">
        <v>205</v>
      </c>
      <c r="B7" s="50">
        <v>20</v>
      </c>
      <c r="C7" s="6">
        <v>275</v>
      </c>
      <c r="D7" s="6">
        <v>370.6</v>
      </c>
    </row>
    <row r="8" spans="1:5" ht="15" customHeight="1" x14ac:dyDescent="0.25">
      <c r="A8" s="2" t="s">
        <v>10</v>
      </c>
      <c r="B8" s="50">
        <v>8</v>
      </c>
      <c r="C8" s="6">
        <v>275</v>
      </c>
      <c r="D8" s="6">
        <v>228.125</v>
      </c>
    </row>
    <row r="9" spans="1:5" ht="15" customHeight="1" x14ac:dyDescent="0.25">
      <c r="A9" s="2" t="s">
        <v>11</v>
      </c>
      <c r="B9" s="50">
        <v>9</v>
      </c>
    </row>
    <row r="10" spans="1:5" ht="15" customHeight="1" x14ac:dyDescent="0.25">
      <c r="A10" s="2" t="s">
        <v>12</v>
      </c>
      <c r="B10" s="50">
        <v>1</v>
      </c>
      <c r="D10" s="6">
        <v>500</v>
      </c>
    </row>
    <row r="11" spans="1:5" ht="15" hidden="1" customHeight="1" x14ac:dyDescent="0.25">
      <c r="A11" s="2" t="s">
        <v>13</v>
      </c>
      <c r="B11" s="50"/>
    </row>
    <row r="12" spans="1:5" ht="15" hidden="1" customHeight="1" x14ac:dyDescent="0.25">
      <c r="A12" s="2" t="s">
        <v>14</v>
      </c>
      <c r="B12" s="50"/>
      <c r="D12" s="6"/>
    </row>
    <row r="13" spans="1:5" ht="15" hidden="1" customHeight="1" x14ac:dyDescent="0.25">
      <c r="A13" s="2" t="s">
        <v>15</v>
      </c>
      <c r="B13" s="50"/>
    </row>
    <row r="14" spans="1:5" ht="15" hidden="1" customHeight="1" x14ac:dyDescent="0.25">
      <c r="A14" s="2" t="s">
        <v>16</v>
      </c>
      <c r="B14" s="50"/>
      <c r="D14" s="6"/>
    </row>
    <row r="15" spans="1:5" ht="15" hidden="1" customHeight="1" x14ac:dyDescent="0.25">
      <c r="A15" s="2" t="s">
        <v>17</v>
      </c>
      <c r="B15" s="50"/>
    </row>
    <row r="16" spans="1:5" ht="15" hidden="1" customHeight="1" x14ac:dyDescent="0.25">
      <c r="A16" s="2" t="s">
        <v>18</v>
      </c>
      <c r="B16" s="50"/>
      <c r="D16" s="6"/>
    </row>
    <row r="17" spans="1:5" ht="15" hidden="1" customHeight="1" x14ac:dyDescent="0.25">
      <c r="A17" s="2" t="s">
        <v>19</v>
      </c>
      <c r="B17" s="50"/>
    </row>
    <row r="18" spans="1:5" ht="15" hidden="1" customHeight="1" x14ac:dyDescent="0.25">
      <c r="A18" s="2" t="s">
        <v>234</v>
      </c>
      <c r="B18" s="50"/>
      <c r="D18" s="6"/>
    </row>
    <row r="19" spans="1:5" ht="15" hidden="1" customHeight="1" x14ac:dyDescent="0.25">
      <c r="A19" s="2" t="s">
        <v>235</v>
      </c>
      <c r="B19" s="50"/>
    </row>
    <row r="20" spans="1:5" ht="15" customHeight="1" x14ac:dyDescent="0.25">
      <c r="A20" s="7" t="s">
        <v>20</v>
      </c>
      <c r="B20" s="51">
        <f>SUM(B5:B17)</f>
        <v>69</v>
      </c>
      <c r="C20" s="9">
        <f>AVERAGE(C5:C13)</f>
        <v>275</v>
      </c>
      <c r="D20" s="9">
        <f>AVERAGE(D5:D17)</f>
        <v>366.24166666666662</v>
      </c>
      <c r="E20" s="3" t="s">
        <v>21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0"/>
  <sheetViews>
    <sheetView showGridLines="0" tabSelected="1" zoomScaleNormal="100" workbookViewId="0">
      <selection activeCell="B11" sqref="B11"/>
    </sheetView>
  </sheetViews>
  <sheetFormatPr defaultColWidth="8.7109375" defaultRowHeight="15" x14ac:dyDescent="0.25"/>
  <cols>
    <col min="1" max="1" width="32.5703125" customWidth="1"/>
    <col min="2" max="4" width="17" customWidth="1"/>
    <col min="5" max="5" width="3" customWidth="1"/>
    <col min="6" max="6" width="70" customWidth="1"/>
  </cols>
  <sheetData>
    <row r="1" spans="1:6" ht="18" customHeight="1" x14ac:dyDescent="0.3">
      <c r="A1" s="1" t="s">
        <v>22</v>
      </c>
    </row>
    <row r="3" spans="1:6" ht="15" customHeight="1" x14ac:dyDescent="0.25">
      <c r="A3" s="28" t="s">
        <v>23</v>
      </c>
      <c r="B3" s="10" t="s">
        <v>24</v>
      </c>
      <c r="C3" s="52" t="s">
        <v>25</v>
      </c>
      <c r="D3" s="52" t="s">
        <v>26</v>
      </c>
    </row>
    <row r="4" spans="1:6" ht="15" customHeight="1" x14ac:dyDescent="0.25">
      <c r="A4" s="4" t="s">
        <v>27</v>
      </c>
      <c r="B4" s="4"/>
      <c r="C4" s="4"/>
      <c r="D4" s="4"/>
    </row>
    <row r="5" spans="1:6" ht="15" customHeight="1" x14ac:dyDescent="0.25">
      <c r="A5" s="11" t="s">
        <v>262</v>
      </c>
      <c r="B5" s="6">
        <v>1365250.2640758294</v>
      </c>
      <c r="C5" s="14">
        <f>B5+$B$40</f>
        <v>1565250.2640758294</v>
      </c>
      <c r="D5" s="14">
        <f>B5-$B$40</f>
        <v>1165250.2640758294</v>
      </c>
      <c r="F5" s="3"/>
    </row>
    <row r="6" spans="1:6" ht="15" customHeight="1" x14ac:dyDescent="0.25">
      <c r="A6" s="83">
        <v>10000</v>
      </c>
      <c r="B6" s="84">
        <f>A6*(Assumption!B8+Assumption!B9+20)</f>
        <v>370000</v>
      </c>
      <c r="C6" s="14">
        <f>$B$6</f>
        <v>370000</v>
      </c>
      <c r="D6" s="14">
        <f>$B$6</f>
        <v>370000</v>
      </c>
    </row>
    <row r="7" spans="1:6" ht="15" customHeight="1" x14ac:dyDescent="0.25">
      <c r="A7" s="7" t="s">
        <v>278</v>
      </c>
      <c r="B7" s="9">
        <f>B5+B6</f>
        <v>1735250.2640758294</v>
      </c>
      <c r="C7" s="9">
        <f>C5+C6</f>
        <v>1935250.2640758294</v>
      </c>
      <c r="D7" s="9">
        <f>D5+D6</f>
        <v>1535250.2640758294</v>
      </c>
    </row>
    <row r="8" spans="1:6" ht="15" customHeight="1" x14ac:dyDescent="0.25">
      <c r="A8" s="4" t="s">
        <v>28</v>
      </c>
      <c r="B8" s="4"/>
      <c r="C8" s="4"/>
      <c r="D8" s="4"/>
    </row>
    <row r="9" spans="1:6" ht="15" customHeight="1" x14ac:dyDescent="0.25">
      <c r="A9" s="11" t="s">
        <v>29</v>
      </c>
      <c r="B9" s="89">
        <f>'Cash Flow Model'!B43</f>
        <v>0.18086651272179655</v>
      </c>
      <c r="C9" s="89">
        <f>IRR(_xlfn.HSTACK(-(B7+200000),'Cash Flow Model'!C40:L40))</f>
        <v>0.16296348145465522</v>
      </c>
      <c r="D9" s="89">
        <f>IRR(_xlfn.HSTACK(-(B7-200000),'Cash Flow Model'!C40:L40))</f>
        <v>0.20186167460431093</v>
      </c>
    </row>
    <row r="10" spans="1:6" ht="15" customHeight="1" x14ac:dyDescent="0.25">
      <c r="A10" s="2" t="s">
        <v>30</v>
      </c>
      <c r="B10" s="29">
        <f>'Cash Flow Model'!$C$24/'BOV '!B28</f>
        <v>0.15983505735644032</v>
      </c>
      <c r="C10" s="30">
        <f>'Cash Flow Model'!$C$24/'BOV '!C28</f>
        <v>0.1433167743908241</v>
      </c>
      <c r="D10" s="30">
        <f>'Cash Flow Model'!$C$24/'BOV '!D28</f>
        <v>0.1806570772051268</v>
      </c>
      <c r="F10" s="88"/>
    </row>
    <row r="11" spans="1:6" ht="15" customHeight="1" x14ac:dyDescent="0.25">
      <c r="A11" s="2" t="s">
        <v>31</v>
      </c>
      <c r="B11" s="29">
        <f>'Cash Flow Model'!B46</f>
        <v>0.23113404216408281</v>
      </c>
      <c r="C11" s="30">
        <f>(SUMPRODUCT(('Cash Flow Model'!$C$38:$L$38&lt;=$B$39)*'Cash Flow Model'!$C$19:$L$19)-C26)/$B$39/C28</f>
        <v>0.18776976760843653</v>
      </c>
      <c r="D11" s="30">
        <f>(SUMPRODUCT(('Cash Flow Model'!$C$38:$L$38&lt;=$B$39)*'Cash Flow Model'!$C$19:$L$19)-D26)/$B$39/D28</f>
        <v>0.28579661135490381</v>
      </c>
    </row>
    <row r="12" spans="1:6" ht="15" customHeight="1" x14ac:dyDescent="0.25">
      <c r="A12" s="11" t="s">
        <v>32</v>
      </c>
      <c r="B12" s="26">
        <f>B27/B24</f>
        <v>1.2552614584395443</v>
      </c>
      <c r="C12" s="26">
        <f>C27/C24</f>
        <v>1.1255354502078403</v>
      </c>
      <c r="D12" s="26">
        <f>D27/D24</f>
        <v>1.4187867790745057</v>
      </c>
      <c r="F12" s="3"/>
    </row>
    <row r="13" spans="1:6" ht="15" customHeight="1" x14ac:dyDescent="0.25">
      <c r="A13" s="2" t="s">
        <v>33</v>
      </c>
      <c r="B13" s="31" t="str">
        <f>IF(B12&gt;=$B$32,"PASS","FAIL")</f>
        <v>PASS</v>
      </c>
      <c r="C13" s="31" t="str">
        <f>IF(C12&gt;=$B$32-0.00001,"PASS","FAIL")</f>
        <v>FAIL</v>
      </c>
      <c r="D13" s="31" t="str">
        <f>IF(D12&gt;=$B$32-0.00001,"PASS","FAIL")</f>
        <v>PASS</v>
      </c>
    </row>
    <row r="14" spans="1:6" ht="15" customHeight="1" x14ac:dyDescent="0.25">
      <c r="A14" s="2" t="s">
        <v>34</v>
      </c>
      <c r="B14" s="32">
        <f>'Cash Flow Model'!B44</f>
        <v>8.4972883001823192</v>
      </c>
      <c r="C14" s="23">
        <f>(SUM('Cash Flow Model'!$C$39:$L$39)-(C26-$B$26)-(C29-$B$29))/C28</f>
        <v>7.2183767915089936</v>
      </c>
      <c r="D14" s="23">
        <f>(SUM('Cash Flow Model'!$C$39:$L$39)-(D26-$B$26)-(D29-$B$29))/D28</f>
        <v>10.109412325042559</v>
      </c>
    </row>
    <row r="15" spans="1:6" ht="15" customHeight="1" x14ac:dyDescent="0.25">
      <c r="A15" s="4" t="s">
        <v>35</v>
      </c>
      <c r="B15" s="4"/>
      <c r="C15" s="4"/>
      <c r="D15" s="4"/>
    </row>
    <row r="16" spans="1:6" ht="15" customHeight="1" x14ac:dyDescent="0.25">
      <c r="A16" s="2" t="s">
        <v>36</v>
      </c>
      <c r="B16" s="30">
        <f>B27/B7</f>
        <v>7.09735787394285E-2</v>
      </c>
      <c r="C16" s="30">
        <f>C27/C7</f>
        <v>6.3638756979481959E-2</v>
      </c>
      <c r="D16" s="30">
        <f>D27/D7</f>
        <v>8.0219443130424367E-2</v>
      </c>
    </row>
    <row r="17" spans="1:6" ht="15" customHeight="1" x14ac:dyDescent="0.25">
      <c r="A17" s="2" t="s">
        <v>37</v>
      </c>
      <c r="B17" s="30">
        <f>B27/B21</f>
        <v>0.10139082677061216</v>
      </c>
      <c r="C17" s="30">
        <f>C27/C21</f>
        <v>9.0912509970688518E-2</v>
      </c>
      <c r="D17" s="30">
        <f>D27/D21</f>
        <v>0.11459920447203482</v>
      </c>
    </row>
    <row r="18" spans="1:6" ht="15" customHeight="1" x14ac:dyDescent="0.25">
      <c r="A18" s="82" t="s">
        <v>38</v>
      </c>
      <c r="B18" s="58">
        <f>B7/Land!$O$30</f>
        <v>25148.554551823614</v>
      </c>
      <c r="C18" s="58">
        <f>C7/Land!$O$30</f>
        <v>28047.105276461294</v>
      </c>
      <c r="D18" s="58">
        <f>D7/Land!$O$30</f>
        <v>22250.003827185934</v>
      </c>
      <c r="F18" s="3"/>
    </row>
    <row r="19" spans="1:6" ht="15" customHeight="1" x14ac:dyDescent="0.25">
      <c r="A19" s="4" t="s">
        <v>39</v>
      </c>
      <c r="B19" s="4"/>
      <c r="C19" s="4"/>
      <c r="D19" s="4"/>
    </row>
    <row r="20" spans="1:6" ht="15" customHeight="1" x14ac:dyDescent="0.25">
      <c r="A20" s="2" t="s">
        <v>40</v>
      </c>
      <c r="B20" s="15">
        <v>0.7</v>
      </c>
      <c r="C20" s="30">
        <f>$B$20</f>
        <v>0.7</v>
      </c>
      <c r="D20" s="30">
        <f>$B$20</f>
        <v>0.7</v>
      </c>
    </row>
    <row r="21" spans="1:6" ht="15" customHeight="1" x14ac:dyDescent="0.25">
      <c r="A21" s="2" t="s">
        <v>282</v>
      </c>
      <c r="B21" s="14">
        <f>B20*B7</f>
        <v>1214675.1848530804</v>
      </c>
      <c r="C21" s="14">
        <f>C20*C7</f>
        <v>1354675.1848530804</v>
      </c>
      <c r="D21" s="14">
        <f>D20*D7</f>
        <v>1074675.1848530804</v>
      </c>
    </row>
    <row r="22" spans="1:6" ht="15" customHeight="1" x14ac:dyDescent="0.25">
      <c r="A22" s="2" t="s">
        <v>281</v>
      </c>
      <c r="B22" s="33">
        <f>$B$35</f>
        <v>7.0230000000000001E-2</v>
      </c>
      <c r="C22" s="33">
        <f>$B$35</f>
        <v>7.0230000000000001E-2</v>
      </c>
      <c r="D22" s="33">
        <f>$B$35</f>
        <v>7.0230000000000001E-2</v>
      </c>
    </row>
    <row r="23" spans="1:6" ht="15" customHeight="1" x14ac:dyDescent="0.25">
      <c r="A23" s="2" t="s">
        <v>42</v>
      </c>
      <c r="B23" s="14">
        <f>B21*B22</f>
        <v>85306.638232231839</v>
      </c>
      <c r="C23" s="14">
        <f>C21*C22</f>
        <v>95138.838232231836</v>
      </c>
      <c r="D23" s="14">
        <f>D21*D22</f>
        <v>75474.438232231842</v>
      </c>
    </row>
    <row r="24" spans="1:6" ht="15" customHeight="1" x14ac:dyDescent="0.25">
      <c r="A24" s="2" t="s">
        <v>43</v>
      </c>
      <c r="B24" s="14">
        <f>IF($B$37&gt;=1,B23,B25)</f>
        <v>98112.56485409844</v>
      </c>
      <c r="C24" s="14">
        <f>IF($B$37&gt;=1,C23,C25)</f>
        <v>109420.73945983483</v>
      </c>
      <c r="D24" s="14">
        <f>IF($B$37&gt;=1,D23,D25)</f>
        <v>86804.390248362019</v>
      </c>
      <c r="F24" s="3"/>
    </row>
    <row r="25" spans="1:6" ht="15" customHeight="1" x14ac:dyDescent="0.25">
      <c r="A25" s="2" t="s">
        <v>280</v>
      </c>
      <c r="B25" s="14">
        <f>-PMT(B22,$B$36,B21)</f>
        <v>98112.56485409844</v>
      </c>
      <c r="C25" s="14">
        <f>-PMT(C22,$B$36,C21)</f>
        <v>109420.73945983483</v>
      </c>
      <c r="D25" s="14">
        <f>-PMT(D22,$B$36,D21)</f>
        <v>86804.390248362019</v>
      </c>
    </row>
    <row r="26" spans="1:6" ht="15" customHeight="1" x14ac:dyDescent="0.25">
      <c r="A26" s="2" t="s">
        <v>44</v>
      </c>
      <c r="B26" s="14">
        <f>MIN($B$37,$B$39)*B23+MAX($B$39-$B$37,0)*B25</f>
        <v>981125.64854098437</v>
      </c>
      <c r="C26" s="14">
        <f>MIN($B$37,$B$39)*C23+MAX($B$39-$B$37,0)*C25</f>
        <v>1094207.3945983483</v>
      </c>
      <c r="D26" s="14">
        <f>MIN($B$37,$B$39)*D23+MAX($B$39-$B$37,0)*D25</f>
        <v>868043.90248362022</v>
      </c>
    </row>
    <row r="27" spans="1:6" ht="15" customHeight="1" x14ac:dyDescent="0.25">
      <c r="A27" s="2" t="s">
        <v>279</v>
      </c>
      <c r="B27" s="22">
        <f>Land!C64</f>
        <v>123156.92124999998</v>
      </c>
      <c r="C27" s="14">
        <f>$B$27</f>
        <v>123156.92124999998</v>
      </c>
      <c r="D27" s="14">
        <f>$B$27</f>
        <v>123156.92124999998</v>
      </c>
      <c r="F27" s="3"/>
    </row>
    <row r="28" spans="1:6" ht="15" customHeight="1" x14ac:dyDescent="0.25">
      <c r="A28" s="2" t="s">
        <v>45</v>
      </c>
      <c r="B28" s="14">
        <f>B7-B21</f>
        <v>520575.07922274899</v>
      </c>
      <c r="C28" s="14">
        <f>C7-C21</f>
        <v>580575.07922274899</v>
      </c>
      <c r="D28" s="14">
        <f>D7-D21</f>
        <v>460575.07922274899</v>
      </c>
    </row>
    <row r="29" spans="1:6" ht="15" customHeight="1" x14ac:dyDescent="0.25">
      <c r="A29" s="2" t="s">
        <v>46</v>
      </c>
      <c r="B29" s="22">
        <f>'Cash Flow Model'!B33</f>
        <v>1037550.4372885185</v>
      </c>
      <c r="C29" s="14">
        <f>IF($B$37&gt;=$B$39,C21,C21*(1+C22)^($B$39-$B$37)-C25*((1+C22)^($B$39-$B$37)-1)/C22)</f>
        <v>1157135.5436871171</v>
      </c>
      <c r="D29" s="14">
        <f>IF($B$37&gt;=$B$39,D21,D21*(1+D22)^($B$39-$B$37)-D25*((1+D22)^($B$39-$B$37)-1)/D22)</f>
        <v>917965.33088992024</v>
      </c>
    </row>
    <row r="31" spans="1:6" ht="15" customHeight="1" x14ac:dyDescent="0.25">
      <c r="A31" s="28" t="s">
        <v>47</v>
      </c>
      <c r="B31" s="28"/>
      <c r="C31" s="28"/>
      <c r="D31" s="28"/>
    </row>
    <row r="32" spans="1:6" ht="15" customHeight="1" x14ac:dyDescent="0.25">
      <c r="A32" s="2" t="s">
        <v>48</v>
      </c>
      <c r="B32" s="34">
        <v>1.25</v>
      </c>
      <c r="F32" s="3"/>
    </row>
    <row r="33" spans="1:6" ht="15" customHeight="1" x14ac:dyDescent="0.25">
      <c r="A33" s="2" t="s">
        <v>49</v>
      </c>
      <c r="B33" s="35">
        <v>4.0230000000000002E-2</v>
      </c>
      <c r="F33" s="3"/>
    </row>
    <row r="34" spans="1:6" ht="15" customHeight="1" x14ac:dyDescent="0.25">
      <c r="A34" s="2" t="s">
        <v>50</v>
      </c>
      <c r="B34" s="35">
        <v>0.03</v>
      </c>
    </row>
    <row r="35" spans="1:6" ht="15" customHeight="1" x14ac:dyDescent="0.25">
      <c r="A35" s="2" t="s">
        <v>41</v>
      </c>
      <c r="B35" s="33">
        <f>B33+B34</f>
        <v>7.0230000000000001E-2</v>
      </c>
    </row>
    <row r="36" spans="1:6" ht="15" customHeight="1" x14ac:dyDescent="0.25">
      <c r="A36" s="2" t="s">
        <v>51</v>
      </c>
      <c r="B36" s="5">
        <v>30</v>
      </c>
      <c r="F36" s="3"/>
    </row>
    <row r="37" spans="1:6" ht="15" customHeight="1" x14ac:dyDescent="0.25">
      <c r="A37" s="2" t="s">
        <v>52</v>
      </c>
      <c r="B37" s="5">
        <v>0</v>
      </c>
      <c r="F37" s="3"/>
    </row>
    <row r="38" spans="1:6" ht="15" customHeight="1" x14ac:dyDescent="0.25">
      <c r="A38" s="2" t="s">
        <v>53</v>
      </c>
      <c r="B38" s="15">
        <v>0.1</v>
      </c>
      <c r="F38" s="3"/>
    </row>
    <row r="39" spans="1:6" ht="15" customHeight="1" x14ac:dyDescent="0.25">
      <c r="A39" s="2" t="s">
        <v>54</v>
      </c>
      <c r="B39" s="5">
        <v>10</v>
      </c>
      <c r="F39" s="3"/>
    </row>
    <row r="40" spans="1:6" ht="15" customHeight="1" x14ac:dyDescent="0.25">
      <c r="A40" s="2" t="s">
        <v>55</v>
      </c>
      <c r="B40" s="6">
        <v>200000</v>
      </c>
      <c r="F40" s="3"/>
    </row>
  </sheetData>
  <pageMargins left="0.75" right="0.75" top="1" bottom="1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65"/>
  <sheetViews>
    <sheetView showGridLines="0" topLeftCell="A39" zoomScaleNormal="100" workbookViewId="0">
      <selection activeCell="B68" sqref="B68"/>
    </sheetView>
  </sheetViews>
  <sheetFormatPr defaultColWidth="8.7109375" defaultRowHeight="15" x14ac:dyDescent="0.25"/>
  <cols>
    <col min="1" max="1" width="25.140625" customWidth="1"/>
    <col min="2" max="2" width="15" customWidth="1"/>
    <col min="3" max="12" width="13" customWidth="1"/>
    <col min="13" max="13" width="3" customWidth="1"/>
    <col min="14" max="14" width="16" customWidth="1"/>
    <col min="15" max="15" width="14" customWidth="1"/>
    <col min="16" max="16" width="9.7109375" customWidth="1"/>
    <col min="17" max="17" width="13" customWidth="1"/>
    <col min="18" max="18" width="60" customWidth="1"/>
  </cols>
  <sheetData>
    <row r="1" spans="1:16" ht="18" customHeight="1" x14ac:dyDescent="0.3">
      <c r="A1" s="1" t="s">
        <v>107</v>
      </c>
    </row>
    <row r="2" spans="1:16" ht="15" customHeight="1" x14ac:dyDescent="0.25">
      <c r="A2" s="3" t="s">
        <v>108</v>
      </c>
    </row>
    <row r="3" spans="1:16" ht="23.25" customHeight="1" x14ac:dyDescent="0.25">
      <c r="A3" s="10" t="s">
        <v>109</v>
      </c>
      <c r="B3" s="52">
        <v>2018</v>
      </c>
      <c r="C3" s="52" t="s">
        <v>110</v>
      </c>
      <c r="D3" s="52" t="s">
        <v>111</v>
      </c>
      <c r="E3" s="52" t="s">
        <v>112</v>
      </c>
      <c r="F3" s="52" t="s">
        <v>113</v>
      </c>
      <c r="G3" s="52" t="s">
        <v>114</v>
      </c>
      <c r="H3" s="52" t="s">
        <v>115</v>
      </c>
      <c r="I3" s="52" t="s">
        <v>116</v>
      </c>
      <c r="J3" s="52" t="s">
        <v>117</v>
      </c>
      <c r="K3" s="52" t="s">
        <v>118</v>
      </c>
      <c r="L3" s="52" t="s">
        <v>119</v>
      </c>
      <c r="N3" s="10" t="s">
        <v>120</v>
      </c>
      <c r="O3" s="10" t="s">
        <v>121</v>
      </c>
      <c r="P3" s="10" t="s">
        <v>122</v>
      </c>
    </row>
    <row r="4" spans="1:16" ht="9.9499999999999993" customHeight="1" x14ac:dyDescent="0.25">
      <c r="A4" s="53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N4" s="53"/>
      <c r="O4" s="53"/>
      <c r="P4" s="53"/>
    </row>
    <row r="5" spans="1:16" ht="15" customHeight="1" x14ac:dyDescent="0.25">
      <c r="A5" s="55" t="s">
        <v>214</v>
      </c>
      <c r="B5" s="12">
        <f>Assumption!B5+Assumption!B8+Assumption!B7</f>
        <v>45</v>
      </c>
      <c r="C5" s="13">
        <f>MIN($O5,B5+$P5)</f>
        <v>47</v>
      </c>
      <c r="D5" s="13">
        <f>MIN($O5,C5+$P5)</f>
        <v>49</v>
      </c>
      <c r="E5" s="13">
        <f>MIN($O5,D5+$P5)</f>
        <v>51</v>
      </c>
      <c r="F5" s="13">
        <f>MIN($O5,E5+$P5)</f>
        <v>53</v>
      </c>
      <c r="G5" s="13">
        <f t="shared" ref="G5:L5" si="0">MIN($O5,F5+$P5)</f>
        <v>55</v>
      </c>
      <c r="H5" s="13">
        <f t="shared" si="0"/>
        <v>57</v>
      </c>
      <c r="I5" s="13">
        <f t="shared" si="0"/>
        <v>59</v>
      </c>
      <c r="J5" s="13">
        <f t="shared" si="0"/>
        <v>61</v>
      </c>
      <c r="K5" s="13">
        <f t="shared" si="0"/>
        <v>63</v>
      </c>
      <c r="L5" s="13">
        <f t="shared" si="0"/>
        <v>65</v>
      </c>
      <c r="N5" s="13">
        <f>O5-B5</f>
        <v>23</v>
      </c>
      <c r="O5" s="12">
        <f>SUM(Assumption!B5:B9)</f>
        <v>68</v>
      </c>
      <c r="P5" s="5">
        <v>2</v>
      </c>
    </row>
    <row r="6" spans="1:16" ht="15" customHeight="1" x14ac:dyDescent="0.25">
      <c r="A6" s="55" t="s">
        <v>211</v>
      </c>
      <c r="B6" s="56">
        <f>B5/SUM(Assumption!$B$5:$B$9)</f>
        <v>0.66176470588235292</v>
      </c>
      <c r="C6" s="56">
        <f>C5/SUM(Assumption!$B$5:$B$9)</f>
        <v>0.69117647058823528</v>
      </c>
      <c r="D6" s="56">
        <f>D5/SUM(Assumption!$B$5:$B$9)</f>
        <v>0.72058823529411764</v>
      </c>
      <c r="E6" s="56">
        <f>E5/SUM(Assumption!$B$5:$B$9)</f>
        <v>0.75</v>
      </c>
      <c r="F6" s="56">
        <f>F5/SUM(Assumption!$B$5:$B$9)</f>
        <v>0.77941176470588236</v>
      </c>
      <c r="G6" s="56">
        <f>G5/SUM(Assumption!$B$5:$B$9)</f>
        <v>0.80882352941176472</v>
      </c>
      <c r="H6" s="56">
        <f>H5/SUM(Assumption!$B$5:$B$9)</f>
        <v>0.83823529411764708</v>
      </c>
      <c r="I6" s="56">
        <f>I5/SUM(Assumption!$B$5:$B$9)</f>
        <v>0.86764705882352944</v>
      </c>
      <c r="J6" s="56">
        <f>J5/SUM(Assumption!$B$5:$B$9)</f>
        <v>0.8970588235294118</v>
      </c>
      <c r="K6" s="56">
        <f>K5/SUM(Assumption!$B$5:$B$9)</f>
        <v>0.92647058823529416</v>
      </c>
      <c r="L6" s="56">
        <f>L5/SUM(Assumption!$B$5:$B$9)</f>
        <v>0.95588235294117652</v>
      </c>
      <c r="M6" s="56"/>
      <c r="N6" s="13"/>
      <c r="O6" s="12"/>
      <c r="P6" s="5"/>
    </row>
    <row r="7" spans="1:16" ht="15" customHeight="1" x14ac:dyDescent="0.25">
      <c r="A7" s="55" t="s">
        <v>212</v>
      </c>
      <c r="B7" s="12">
        <f>AVERAGE(Assumption!C5,Assumption!C7,Assumption!C8)</f>
        <v>275</v>
      </c>
      <c r="C7" s="13">
        <f t="shared" ref="C7:L7" si="1">B7*(1+$N$34)</f>
        <v>288.75</v>
      </c>
      <c r="D7" s="13">
        <f t="shared" si="1"/>
        <v>303.1875</v>
      </c>
      <c r="E7" s="13">
        <f t="shared" si="1"/>
        <v>318.34687500000001</v>
      </c>
      <c r="F7" s="13">
        <f t="shared" si="1"/>
        <v>334.26421875</v>
      </c>
      <c r="G7" s="13">
        <f t="shared" si="1"/>
        <v>350.97742968750003</v>
      </c>
      <c r="H7" s="13">
        <f t="shared" si="1"/>
        <v>368.52630117187505</v>
      </c>
      <c r="I7" s="13">
        <f t="shared" si="1"/>
        <v>386.95261623046883</v>
      </c>
      <c r="J7" s="13">
        <f t="shared" si="1"/>
        <v>406.30024704199229</v>
      </c>
      <c r="K7" s="13">
        <f t="shared" si="1"/>
        <v>426.61525939409194</v>
      </c>
      <c r="L7" s="13">
        <f t="shared" si="1"/>
        <v>447.94602236379654</v>
      </c>
      <c r="N7" s="13"/>
      <c r="O7" s="12"/>
      <c r="P7" s="5"/>
    </row>
    <row r="8" spans="1:16" ht="15" customHeight="1" x14ac:dyDescent="0.25">
      <c r="A8" s="55" t="s">
        <v>213</v>
      </c>
      <c r="B8" s="12"/>
      <c r="C8" s="57">
        <f>(C7-B7)/C7</f>
        <v>4.7619047619047616E-2</v>
      </c>
      <c r="D8" s="57">
        <f t="shared" ref="D8:L8" si="2">(D7-C7)/D7</f>
        <v>4.7619047619047616E-2</v>
      </c>
      <c r="E8" s="57">
        <f t="shared" si="2"/>
        <v>4.7619047619047651E-2</v>
      </c>
      <c r="F8" s="57">
        <f t="shared" si="2"/>
        <v>4.7619047619047582E-2</v>
      </c>
      <c r="G8" s="57">
        <f t="shared" si="2"/>
        <v>4.761904761904772E-2</v>
      </c>
      <c r="H8" s="57">
        <f t="shared" si="2"/>
        <v>4.7619047619047651E-2</v>
      </c>
      <c r="I8" s="57">
        <f t="shared" si="2"/>
        <v>4.76190476190477E-2</v>
      </c>
      <c r="J8" s="57">
        <f t="shared" si="2"/>
        <v>4.7619047619047658E-2</v>
      </c>
      <c r="K8" s="57">
        <f t="shared" si="2"/>
        <v>4.7619047619047686E-2</v>
      </c>
      <c r="L8" s="57">
        <f t="shared" si="2"/>
        <v>4.7619047619047644E-2</v>
      </c>
      <c r="N8" s="13"/>
      <c r="O8" s="12"/>
      <c r="P8" s="5"/>
    </row>
    <row r="9" spans="1:16" ht="15" customHeight="1" x14ac:dyDescent="0.25">
      <c r="A9" s="55"/>
      <c r="B9" s="12"/>
      <c r="C9" s="13"/>
      <c r="D9" s="13"/>
      <c r="E9" s="13"/>
      <c r="F9" s="13"/>
      <c r="G9" s="13"/>
      <c r="H9" s="13"/>
      <c r="I9" s="13"/>
      <c r="J9" s="13"/>
      <c r="K9" s="13"/>
      <c r="L9" s="13"/>
      <c r="N9" s="13"/>
      <c r="O9" s="12"/>
      <c r="P9" s="5"/>
    </row>
    <row r="10" spans="1:16" ht="15" customHeight="1" x14ac:dyDescent="0.25">
      <c r="A10" s="55" t="s">
        <v>215</v>
      </c>
      <c r="B10" s="12">
        <f>Assumption!B10</f>
        <v>1</v>
      </c>
      <c r="C10" s="13">
        <f>MIN($O10,B10+$P10)</f>
        <v>1</v>
      </c>
      <c r="D10" s="13">
        <f>MIN($O10,C10+$P10)</f>
        <v>1</v>
      </c>
      <c r="E10" s="13">
        <f>MIN($O10,D10+$P10)</f>
        <v>1</v>
      </c>
      <c r="F10" s="13">
        <f>MIN($O10,E10+$P10)</f>
        <v>1</v>
      </c>
      <c r="G10" s="13">
        <f t="shared" ref="G10:L10" si="3">MIN($O10,F10+$P10)</f>
        <v>1</v>
      </c>
      <c r="H10" s="13">
        <f t="shared" si="3"/>
        <v>1</v>
      </c>
      <c r="I10" s="13">
        <f t="shared" si="3"/>
        <v>1</v>
      </c>
      <c r="J10" s="13">
        <f t="shared" si="3"/>
        <v>1</v>
      </c>
      <c r="K10" s="13">
        <f t="shared" si="3"/>
        <v>1</v>
      </c>
      <c r="L10" s="13">
        <f t="shared" si="3"/>
        <v>1</v>
      </c>
      <c r="N10" s="13">
        <f>O10-B10</f>
        <v>0</v>
      </c>
      <c r="O10" s="12">
        <f>Assumption!B10+Assumption!B11</f>
        <v>1</v>
      </c>
      <c r="P10" s="5">
        <v>1</v>
      </c>
    </row>
    <row r="11" spans="1:16" ht="15" customHeight="1" x14ac:dyDescent="0.25">
      <c r="A11" s="55" t="s">
        <v>211</v>
      </c>
      <c r="B11" s="56">
        <f>B10/SUM(Assumption!$B$10:$B$11)</f>
        <v>1</v>
      </c>
      <c r="C11" s="56">
        <f>C10/SUM(Assumption!$B$10:$B$11)</f>
        <v>1</v>
      </c>
      <c r="D11" s="56">
        <f>D10/SUM(Assumption!$B$10:$B$11)</f>
        <v>1</v>
      </c>
      <c r="E11" s="56">
        <f>E10/SUM(Assumption!$B$10:$B$11)</f>
        <v>1</v>
      </c>
      <c r="F11" s="56">
        <f>F10/SUM(Assumption!$B$10:$B$11)</f>
        <v>1</v>
      </c>
      <c r="G11" s="56">
        <f>G10/SUM(Assumption!$B$10:$B$11)</f>
        <v>1</v>
      </c>
      <c r="H11" s="56">
        <f>H10/SUM(Assumption!$B$10:$B$11)</f>
        <v>1</v>
      </c>
      <c r="I11" s="56">
        <f>I10/SUM(Assumption!$B$10:$B$11)</f>
        <v>1</v>
      </c>
      <c r="J11" s="56">
        <f>J10/SUM(Assumption!$B$10:$B$11)</f>
        <v>1</v>
      </c>
      <c r="K11" s="56">
        <f>K10/SUM(Assumption!$B$10:$B$11)</f>
        <v>1</v>
      </c>
      <c r="L11" s="56">
        <f>L10/SUM(Assumption!$B$10:$B$11)</f>
        <v>1</v>
      </c>
      <c r="N11" s="13"/>
      <c r="O11" s="12"/>
      <c r="P11" s="5"/>
    </row>
    <row r="12" spans="1:16" ht="15" customHeight="1" x14ac:dyDescent="0.25">
      <c r="A12" s="55" t="s">
        <v>212</v>
      </c>
      <c r="B12" s="12">
        <f>Assumption!D10</f>
        <v>500</v>
      </c>
      <c r="C12" s="13">
        <f t="shared" ref="C12:L12" si="4">B12*(1+$N$35)</f>
        <v>525</v>
      </c>
      <c r="D12" s="13">
        <f t="shared" si="4"/>
        <v>551.25</v>
      </c>
      <c r="E12" s="13">
        <f t="shared" si="4"/>
        <v>578.8125</v>
      </c>
      <c r="F12" s="13">
        <f t="shared" si="4"/>
        <v>607.75312500000007</v>
      </c>
      <c r="G12" s="13">
        <f t="shared" si="4"/>
        <v>638.14078125000015</v>
      </c>
      <c r="H12" s="13">
        <f t="shared" si="4"/>
        <v>670.04782031250022</v>
      </c>
      <c r="I12" s="13">
        <f t="shared" si="4"/>
        <v>703.55021132812522</v>
      </c>
      <c r="J12" s="13">
        <f t="shared" si="4"/>
        <v>738.72772189453156</v>
      </c>
      <c r="K12" s="13">
        <f t="shared" si="4"/>
        <v>775.66410798925813</v>
      </c>
      <c r="L12" s="13">
        <f t="shared" si="4"/>
        <v>814.44731338872111</v>
      </c>
      <c r="N12" s="13"/>
      <c r="O12" s="12"/>
      <c r="P12" s="5"/>
    </row>
    <row r="13" spans="1:16" ht="15" customHeight="1" x14ac:dyDescent="0.25">
      <c r="A13" s="55" t="s">
        <v>213</v>
      </c>
      <c r="B13" s="12"/>
      <c r="C13" s="57">
        <f>(C12-B12)/C12</f>
        <v>4.7619047619047616E-2</v>
      </c>
      <c r="D13" s="57">
        <f t="shared" ref="D13:L13" si="5">(D12-C12)/D12</f>
        <v>4.7619047619047616E-2</v>
      </c>
      <c r="E13" s="57">
        <f t="shared" si="5"/>
        <v>4.7619047619047616E-2</v>
      </c>
      <c r="F13" s="57">
        <f t="shared" si="5"/>
        <v>4.7619047619047727E-2</v>
      </c>
      <c r="G13" s="57">
        <f t="shared" si="5"/>
        <v>4.7619047619047727E-2</v>
      </c>
      <c r="H13" s="57">
        <f t="shared" si="5"/>
        <v>4.7619047619047714E-2</v>
      </c>
      <c r="I13" s="57">
        <f t="shared" si="5"/>
        <v>4.7619047619047596E-2</v>
      </c>
      <c r="J13" s="57">
        <f t="shared" si="5"/>
        <v>4.761904761904772E-2</v>
      </c>
      <c r="K13" s="57">
        <f t="shared" si="5"/>
        <v>4.7619047619047609E-2</v>
      </c>
      <c r="L13" s="57">
        <f t="shared" si="5"/>
        <v>4.7619047619047714E-2</v>
      </c>
      <c r="N13" s="13"/>
      <c r="O13" s="12"/>
      <c r="P13" s="5"/>
    </row>
    <row r="14" spans="1:16" ht="15" hidden="1" customHeight="1" x14ac:dyDescent="0.25">
      <c r="A14" s="55"/>
      <c r="B14" s="12"/>
      <c r="C14" s="13"/>
      <c r="D14" s="13"/>
      <c r="E14" s="13"/>
      <c r="F14" s="13"/>
      <c r="G14" s="13"/>
      <c r="H14" s="13"/>
      <c r="I14" s="13"/>
      <c r="J14" s="13"/>
      <c r="K14" s="13"/>
      <c r="L14" s="13"/>
      <c r="N14" s="13"/>
      <c r="O14" s="12"/>
      <c r="P14" s="5"/>
    </row>
    <row r="15" spans="1:16" ht="15" hidden="1" customHeight="1" x14ac:dyDescent="0.25">
      <c r="A15" s="11" t="s">
        <v>216</v>
      </c>
      <c r="B15" s="12">
        <f>Assumption!B12</f>
        <v>0</v>
      </c>
      <c r="C15" s="13">
        <f t="shared" ref="C15:F25" si="6">MIN($O15,B15+$P15)</f>
        <v>0</v>
      </c>
      <c r="D15" s="13">
        <f t="shared" si="6"/>
        <v>0</v>
      </c>
      <c r="E15" s="13">
        <f t="shared" si="6"/>
        <v>0</v>
      </c>
      <c r="F15" s="13">
        <f t="shared" si="6"/>
        <v>0</v>
      </c>
      <c r="G15" s="13">
        <f t="shared" ref="G15:L15" si="7">MIN($O15,F15+$P15)</f>
        <v>0</v>
      </c>
      <c r="H15" s="13">
        <f t="shared" si="7"/>
        <v>0</v>
      </c>
      <c r="I15" s="13">
        <f t="shared" si="7"/>
        <v>0</v>
      </c>
      <c r="J15" s="13">
        <f t="shared" si="7"/>
        <v>0</v>
      </c>
      <c r="K15" s="13">
        <f t="shared" si="7"/>
        <v>0</v>
      </c>
      <c r="L15" s="13">
        <f t="shared" si="7"/>
        <v>0</v>
      </c>
      <c r="N15" s="13">
        <f>O15-B15</f>
        <v>0</v>
      </c>
      <c r="O15" s="12">
        <f>Assumption!B12+Assumption!B13</f>
        <v>0</v>
      </c>
      <c r="P15" s="5">
        <v>1</v>
      </c>
    </row>
    <row r="16" spans="1:16" ht="15" hidden="1" customHeight="1" x14ac:dyDescent="0.25">
      <c r="A16" s="55" t="s">
        <v>211</v>
      </c>
      <c r="B16" s="56" t="e">
        <f>B15/SUM(Assumption!B12:$B$13)</f>
        <v>#DIV/0!</v>
      </c>
      <c r="C16" s="56" t="e">
        <f>C15/SUM(Assumption!$B$12:$C$13)</f>
        <v>#DIV/0!</v>
      </c>
      <c r="D16" s="56" t="e">
        <f>D15/SUM(Assumption!$B$12:$C$13)</f>
        <v>#DIV/0!</v>
      </c>
      <c r="E16" s="56" t="e">
        <f>E15/SUM(Assumption!$B$12:$C$13)</f>
        <v>#DIV/0!</v>
      </c>
      <c r="F16" s="56" t="e">
        <f>F15/SUM(Assumption!$B$12:$C$13)</f>
        <v>#DIV/0!</v>
      </c>
      <c r="G16" s="56" t="e">
        <f>G15/SUM(Assumption!$B$12:$C$13)</f>
        <v>#DIV/0!</v>
      </c>
      <c r="H16" s="56" t="e">
        <f>H15/SUM(Assumption!$B$12:$C$13)</f>
        <v>#DIV/0!</v>
      </c>
      <c r="I16" s="56" t="e">
        <f>I15/SUM(Assumption!$B$12:$C$13)</f>
        <v>#DIV/0!</v>
      </c>
      <c r="J16" s="56" t="e">
        <f>J15/SUM(Assumption!$B$12:$C$13)</f>
        <v>#DIV/0!</v>
      </c>
      <c r="K16" s="56" t="e">
        <f>K15/SUM(Assumption!$B$12:$C$13)</f>
        <v>#DIV/0!</v>
      </c>
      <c r="L16" s="56" t="e">
        <f>L15/SUM(Assumption!$B$12:$C$13)</f>
        <v>#DIV/0!</v>
      </c>
      <c r="N16" s="13"/>
      <c r="O16" s="12"/>
      <c r="P16" s="5"/>
    </row>
    <row r="17" spans="1:18" ht="15" hidden="1" customHeight="1" x14ac:dyDescent="0.25">
      <c r="A17" s="55" t="s">
        <v>212</v>
      </c>
      <c r="B17" s="12">
        <f>Assumption!D12</f>
        <v>0</v>
      </c>
      <c r="C17" s="13">
        <f>B17*(1+$N$36)</f>
        <v>0</v>
      </c>
      <c r="D17" s="13">
        <f t="shared" ref="D17:L17" si="8">C17*(1+$N$36)</f>
        <v>0</v>
      </c>
      <c r="E17" s="13">
        <f t="shared" si="8"/>
        <v>0</v>
      </c>
      <c r="F17" s="13">
        <f t="shared" si="8"/>
        <v>0</v>
      </c>
      <c r="G17" s="13">
        <f t="shared" si="8"/>
        <v>0</v>
      </c>
      <c r="H17" s="13">
        <f t="shared" si="8"/>
        <v>0</v>
      </c>
      <c r="I17" s="13">
        <f t="shared" si="8"/>
        <v>0</v>
      </c>
      <c r="J17" s="13">
        <f t="shared" si="8"/>
        <v>0</v>
      </c>
      <c r="K17" s="13">
        <f t="shared" si="8"/>
        <v>0</v>
      </c>
      <c r="L17" s="13">
        <f t="shared" si="8"/>
        <v>0</v>
      </c>
      <c r="N17" s="13"/>
      <c r="O17" s="12"/>
      <c r="P17" s="5"/>
    </row>
    <row r="18" spans="1:18" ht="15" hidden="1" customHeight="1" x14ac:dyDescent="0.25">
      <c r="A18" s="55" t="s">
        <v>213</v>
      </c>
      <c r="B18" s="12"/>
      <c r="C18" s="57" t="e">
        <f>(C17-B17)/C17</f>
        <v>#DIV/0!</v>
      </c>
      <c r="D18" s="57" t="e">
        <f t="shared" ref="D18:L18" si="9">(D17-C17)/D17</f>
        <v>#DIV/0!</v>
      </c>
      <c r="E18" s="57" t="e">
        <f t="shared" si="9"/>
        <v>#DIV/0!</v>
      </c>
      <c r="F18" s="57" t="e">
        <f t="shared" si="9"/>
        <v>#DIV/0!</v>
      </c>
      <c r="G18" s="57" t="e">
        <f t="shared" si="9"/>
        <v>#DIV/0!</v>
      </c>
      <c r="H18" s="57" t="e">
        <f t="shared" si="9"/>
        <v>#DIV/0!</v>
      </c>
      <c r="I18" s="57" t="e">
        <f t="shared" si="9"/>
        <v>#DIV/0!</v>
      </c>
      <c r="J18" s="57" t="e">
        <f t="shared" si="9"/>
        <v>#DIV/0!</v>
      </c>
      <c r="K18" s="57" t="e">
        <f t="shared" si="9"/>
        <v>#DIV/0!</v>
      </c>
      <c r="L18" s="57" t="e">
        <f t="shared" si="9"/>
        <v>#DIV/0!</v>
      </c>
      <c r="N18" s="13"/>
      <c r="O18" s="12"/>
      <c r="P18" s="5"/>
    </row>
    <row r="19" spans="1:18" ht="15" hidden="1" customHeight="1" x14ac:dyDescent="0.25">
      <c r="A19" s="55"/>
      <c r="B19" s="12"/>
      <c r="C19" s="13"/>
      <c r="D19" s="13"/>
      <c r="E19" s="13"/>
      <c r="F19" s="13"/>
      <c r="G19" s="13"/>
      <c r="H19" s="13"/>
      <c r="I19" s="13"/>
      <c r="J19" s="13"/>
      <c r="K19" s="13"/>
      <c r="L19" s="13"/>
      <c r="N19" s="13"/>
      <c r="O19" s="12"/>
      <c r="P19" s="5"/>
    </row>
    <row r="20" spans="1:18" ht="15" hidden="1" customHeight="1" x14ac:dyDescent="0.25">
      <c r="A20" s="55" t="s">
        <v>217</v>
      </c>
      <c r="B20" s="12">
        <f>Assumption!B14</f>
        <v>0</v>
      </c>
      <c r="C20" s="13">
        <f t="shared" si="6"/>
        <v>0</v>
      </c>
      <c r="D20" s="13">
        <f t="shared" si="6"/>
        <v>0</v>
      </c>
      <c r="E20" s="13">
        <f t="shared" si="6"/>
        <v>0</v>
      </c>
      <c r="F20" s="13">
        <f t="shared" si="6"/>
        <v>0</v>
      </c>
      <c r="G20" s="13">
        <f t="shared" ref="G20:L20" si="10">MIN($O20,F20+$P20)</f>
        <v>0</v>
      </c>
      <c r="H20" s="13">
        <f t="shared" si="10"/>
        <v>0</v>
      </c>
      <c r="I20" s="13">
        <f t="shared" si="10"/>
        <v>0</v>
      </c>
      <c r="J20" s="13">
        <f t="shared" si="10"/>
        <v>0</v>
      </c>
      <c r="K20" s="13">
        <f t="shared" si="10"/>
        <v>0</v>
      </c>
      <c r="L20" s="13">
        <f t="shared" si="10"/>
        <v>0</v>
      </c>
      <c r="N20" s="13">
        <f>O20-B20</f>
        <v>0</v>
      </c>
      <c r="O20" s="12">
        <f>Assumption!B14+Assumption!B15</f>
        <v>0</v>
      </c>
      <c r="P20" s="5">
        <v>1</v>
      </c>
    </row>
    <row r="21" spans="1:18" ht="15" hidden="1" customHeight="1" x14ac:dyDescent="0.25">
      <c r="A21" s="55" t="s">
        <v>211</v>
      </c>
      <c r="B21" s="56" t="e">
        <f>B20/SUM(Assumption!$B$14:$B$15)</f>
        <v>#DIV/0!</v>
      </c>
      <c r="C21" s="56" t="e">
        <f>C20/SUM(Assumption!$B$14:$B$15)</f>
        <v>#DIV/0!</v>
      </c>
      <c r="D21" s="56" t="e">
        <f>D20/SUM(Assumption!$B$14:$B$15)</f>
        <v>#DIV/0!</v>
      </c>
      <c r="E21" s="56" t="e">
        <f>E20/SUM(Assumption!$B$14:$B$15)</f>
        <v>#DIV/0!</v>
      </c>
      <c r="F21" s="56" t="e">
        <f>F20/SUM(Assumption!$B$14:$B$15)</f>
        <v>#DIV/0!</v>
      </c>
      <c r="G21" s="56" t="e">
        <f>G20/SUM(Assumption!$B$14:$B$15)</f>
        <v>#DIV/0!</v>
      </c>
      <c r="H21" s="56" t="e">
        <f>H20/SUM(Assumption!$B$14:$B$15)</f>
        <v>#DIV/0!</v>
      </c>
      <c r="I21" s="56" t="e">
        <f>I20/SUM(Assumption!$B$14:$B$15)</f>
        <v>#DIV/0!</v>
      </c>
      <c r="J21" s="56" t="e">
        <f>J20/SUM(Assumption!$B$14:$B$15)</f>
        <v>#DIV/0!</v>
      </c>
      <c r="K21" s="56" t="e">
        <f>K20/SUM(Assumption!$B$14:$B$15)</f>
        <v>#DIV/0!</v>
      </c>
      <c r="L21" s="56" t="e">
        <f>L20/SUM(Assumption!$B$14:$B$15)</f>
        <v>#DIV/0!</v>
      </c>
      <c r="N21" s="13"/>
      <c r="O21" s="12"/>
      <c r="P21" s="5"/>
    </row>
    <row r="22" spans="1:18" ht="15" hidden="1" customHeight="1" x14ac:dyDescent="0.25">
      <c r="A22" s="55" t="s">
        <v>212</v>
      </c>
      <c r="B22" s="12">
        <f>Assumption!D14</f>
        <v>0</v>
      </c>
      <c r="C22" s="13">
        <f>B22*(1+$N$37)</f>
        <v>0</v>
      </c>
      <c r="D22" s="13">
        <f t="shared" ref="D22:L22" si="11">C22*(1+$N$37)</f>
        <v>0</v>
      </c>
      <c r="E22" s="13">
        <f t="shared" si="11"/>
        <v>0</v>
      </c>
      <c r="F22" s="13">
        <f t="shared" si="11"/>
        <v>0</v>
      </c>
      <c r="G22" s="13">
        <f t="shared" si="11"/>
        <v>0</v>
      </c>
      <c r="H22" s="13">
        <f t="shared" si="11"/>
        <v>0</v>
      </c>
      <c r="I22" s="13">
        <f t="shared" si="11"/>
        <v>0</v>
      </c>
      <c r="J22" s="13">
        <f t="shared" si="11"/>
        <v>0</v>
      </c>
      <c r="K22" s="13">
        <f t="shared" si="11"/>
        <v>0</v>
      </c>
      <c r="L22" s="13">
        <f t="shared" si="11"/>
        <v>0</v>
      </c>
      <c r="N22" s="13"/>
      <c r="O22" s="12"/>
      <c r="P22" s="5"/>
    </row>
    <row r="23" spans="1:18" ht="15" hidden="1" customHeight="1" x14ac:dyDescent="0.25">
      <c r="A23" s="55" t="s">
        <v>213</v>
      </c>
      <c r="B23" s="12"/>
      <c r="C23" s="57" t="e">
        <f>(C22-B22)/C22</f>
        <v>#DIV/0!</v>
      </c>
      <c r="D23" s="57" t="e">
        <f t="shared" ref="D23:L23" si="12">(D22-C22)/D22</f>
        <v>#DIV/0!</v>
      </c>
      <c r="E23" s="57" t="e">
        <f t="shared" si="12"/>
        <v>#DIV/0!</v>
      </c>
      <c r="F23" s="57" t="e">
        <f t="shared" si="12"/>
        <v>#DIV/0!</v>
      </c>
      <c r="G23" s="57" t="e">
        <f t="shared" si="12"/>
        <v>#DIV/0!</v>
      </c>
      <c r="H23" s="57" t="e">
        <f t="shared" si="12"/>
        <v>#DIV/0!</v>
      </c>
      <c r="I23" s="57" t="e">
        <f t="shared" si="12"/>
        <v>#DIV/0!</v>
      </c>
      <c r="J23" s="57" t="e">
        <f t="shared" si="12"/>
        <v>#DIV/0!</v>
      </c>
      <c r="K23" s="57" t="e">
        <f t="shared" si="12"/>
        <v>#DIV/0!</v>
      </c>
      <c r="L23" s="57" t="e">
        <f t="shared" si="12"/>
        <v>#DIV/0!</v>
      </c>
      <c r="N23" s="13"/>
      <c r="O23" s="12"/>
      <c r="P23" s="5"/>
    </row>
    <row r="24" spans="1:18" ht="15" hidden="1" customHeight="1" x14ac:dyDescent="0.25">
      <c r="A24" s="11"/>
      <c r="B24" s="12"/>
      <c r="C24" s="13"/>
      <c r="D24" s="13"/>
      <c r="E24" s="13"/>
      <c r="F24" s="13"/>
      <c r="G24" s="13"/>
      <c r="H24" s="13"/>
      <c r="I24" s="13"/>
      <c r="J24" s="13"/>
      <c r="K24" s="13"/>
      <c r="L24" s="13"/>
      <c r="N24" s="13"/>
      <c r="O24" s="12"/>
      <c r="P24" s="5"/>
    </row>
    <row r="25" spans="1:18" ht="15" hidden="1" customHeight="1" x14ac:dyDescent="0.25">
      <c r="A25" s="11" t="s">
        <v>218</v>
      </c>
      <c r="B25" s="12">
        <f>Assumption!B16</f>
        <v>0</v>
      </c>
      <c r="C25" s="13">
        <f t="shared" si="6"/>
        <v>0</v>
      </c>
      <c r="D25" s="13">
        <f t="shared" si="6"/>
        <v>0</v>
      </c>
      <c r="E25" s="13">
        <f t="shared" si="6"/>
        <v>0</v>
      </c>
      <c r="F25" s="13">
        <f t="shared" si="6"/>
        <v>0</v>
      </c>
      <c r="G25" s="13">
        <f t="shared" ref="G25:L25" si="13">MIN($O25,F25+$P25)</f>
        <v>0</v>
      </c>
      <c r="H25" s="13">
        <f t="shared" si="13"/>
        <v>0</v>
      </c>
      <c r="I25" s="13">
        <f t="shared" si="13"/>
        <v>0</v>
      </c>
      <c r="J25" s="13">
        <f t="shared" si="13"/>
        <v>0</v>
      </c>
      <c r="K25" s="13">
        <f t="shared" si="13"/>
        <v>0</v>
      </c>
      <c r="L25" s="13">
        <f t="shared" si="13"/>
        <v>0</v>
      </c>
      <c r="N25" s="13">
        <f>O25-B25</f>
        <v>0</v>
      </c>
      <c r="O25" s="12">
        <f>Assumption!B16+Assumption!B17</f>
        <v>0</v>
      </c>
      <c r="P25" s="5">
        <v>1</v>
      </c>
    </row>
    <row r="26" spans="1:18" ht="15" hidden="1" customHeight="1" x14ac:dyDescent="0.25">
      <c r="A26" s="55" t="s">
        <v>211</v>
      </c>
      <c r="B26" s="56" t="e">
        <f>B25/SUM(Assumption!$B$16:$B$17)</f>
        <v>#DIV/0!</v>
      </c>
      <c r="C26" s="56" t="e">
        <f>C25/SUM(Assumption!$B$16:$B$17)</f>
        <v>#DIV/0!</v>
      </c>
      <c r="D26" s="56" t="e">
        <f>D25/SUM(Assumption!$B$16:$B$17)</f>
        <v>#DIV/0!</v>
      </c>
      <c r="E26" s="56" t="e">
        <f>E25/SUM(Assumption!$B$16:$B$17)</f>
        <v>#DIV/0!</v>
      </c>
      <c r="F26" s="56" t="e">
        <f>F25/SUM(Assumption!$B$16:$B$17)</f>
        <v>#DIV/0!</v>
      </c>
      <c r="G26" s="56" t="e">
        <f>G25/SUM(Assumption!$B$16:$B$17)</f>
        <v>#DIV/0!</v>
      </c>
      <c r="H26" s="56" t="e">
        <f>H25/SUM(Assumption!$B$16:$B$17)</f>
        <v>#DIV/0!</v>
      </c>
      <c r="I26" s="56" t="e">
        <f>I25/SUM(Assumption!$B$16:$B$17)</f>
        <v>#DIV/0!</v>
      </c>
      <c r="J26" s="56" t="e">
        <f>J25/SUM(Assumption!$B$16:$B$17)</f>
        <v>#DIV/0!</v>
      </c>
      <c r="K26" s="56" t="e">
        <f>K25/SUM(Assumption!$B$16:$B$17)</f>
        <v>#DIV/0!</v>
      </c>
      <c r="L26" s="56" t="e">
        <f>L25/SUM(Assumption!$B$16:$B$17)</f>
        <v>#DIV/0!</v>
      </c>
      <c r="N26" s="13"/>
      <c r="O26" s="12"/>
      <c r="P26" s="5"/>
    </row>
    <row r="27" spans="1:18" ht="15" hidden="1" customHeight="1" x14ac:dyDescent="0.25">
      <c r="A27" s="55" t="s">
        <v>212</v>
      </c>
      <c r="B27" s="12">
        <f>Assumption!D16</f>
        <v>0</v>
      </c>
      <c r="C27" s="13">
        <f>B27*(1+$N$38)</f>
        <v>0</v>
      </c>
      <c r="D27" s="13">
        <f t="shared" ref="D27:L27" si="14">C27*(1+$N$38)</f>
        <v>0</v>
      </c>
      <c r="E27" s="13">
        <f t="shared" si="14"/>
        <v>0</v>
      </c>
      <c r="F27" s="13">
        <f t="shared" si="14"/>
        <v>0</v>
      </c>
      <c r="G27" s="13">
        <f t="shared" si="14"/>
        <v>0</v>
      </c>
      <c r="H27" s="13">
        <f t="shared" si="14"/>
        <v>0</v>
      </c>
      <c r="I27" s="13">
        <f t="shared" si="14"/>
        <v>0</v>
      </c>
      <c r="J27" s="13">
        <f t="shared" si="14"/>
        <v>0</v>
      </c>
      <c r="K27" s="13">
        <f t="shared" si="14"/>
        <v>0</v>
      </c>
      <c r="L27" s="13">
        <f t="shared" si="14"/>
        <v>0</v>
      </c>
      <c r="N27" s="13"/>
      <c r="O27" s="12"/>
      <c r="P27" s="5"/>
    </row>
    <row r="28" spans="1:18" ht="15" hidden="1" customHeight="1" x14ac:dyDescent="0.25">
      <c r="A28" s="55" t="s">
        <v>213</v>
      </c>
      <c r="B28" s="12"/>
      <c r="C28" s="57" t="e">
        <f>(C27-B27)/C27</f>
        <v>#DIV/0!</v>
      </c>
      <c r="D28" s="57" t="e">
        <f t="shared" ref="D28:L28" si="15">(D27-C27)/D27</f>
        <v>#DIV/0!</v>
      </c>
      <c r="E28" s="57" t="e">
        <f t="shared" si="15"/>
        <v>#DIV/0!</v>
      </c>
      <c r="F28" s="57" t="e">
        <f t="shared" si="15"/>
        <v>#DIV/0!</v>
      </c>
      <c r="G28" s="57" t="e">
        <f t="shared" si="15"/>
        <v>#DIV/0!</v>
      </c>
      <c r="H28" s="57" t="e">
        <f t="shared" si="15"/>
        <v>#DIV/0!</v>
      </c>
      <c r="I28" s="57" t="e">
        <f t="shared" si="15"/>
        <v>#DIV/0!</v>
      </c>
      <c r="J28" s="57" t="e">
        <f t="shared" si="15"/>
        <v>#DIV/0!</v>
      </c>
      <c r="K28" s="57" t="e">
        <f t="shared" si="15"/>
        <v>#DIV/0!</v>
      </c>
      <c r="L28" s="57" t="e">
        <f t="shared" si="15"/>
        <v>#DIV/0!</v>
      </c>
      <c r="N28" s="13"/>
      <c r="O28" s="12"/>
      <c r="P28" s="5"/>
    </row>
    <row r="29" spans="1:18" ht="9.9499999999999993" customHeight="1" x14ac:dyDescent="0.25">
      <c r="A29" s="11"/>
      <c r="B29" s="12"/>
      <c r="C29" s="13"/>
      <c r="D29" s="13"/>
      <c r="E29" s="13"/>
      <c r="F29" s="13"/>
      <c r="G29" s="13"/>
      <c r="H29" s="13"/>
      <c r="I29" s="13"/>
      <c r="J29" s="13"/>
      <c r="K29" s="13"/>
      <c r="L29" s="13"/>
      <c r="N29" s="13"/>
      <c r="O29" s="12"/>
      <c r="P29" s="5"/>
    </row>
    <row r="30" spans="1:18" ht="15" customHeight="1" x14ac:dyDescent="0.25">
      <c r="A30" s="7" t="s">
        <v>123</v>
      </c>
      <c r="B30" s="8">
        <f>B5+B10+B15+B20+B25</f>
        <v>46</v>
      </c>
      <c r="C30" s="8">
        <f t="shared" ref="C30:L30" si="16">C5+C10+C15+C20+C25</f>
        <v>48</v>
      </c>
      <c r="D30" s="8">
        <f t="shared" si="16"/>
        <v>50</v>
      </c>
      <c r="E30" s="8">
        <f t="shared" si="16"/>
        <v>52</v>
      </c>
      <c r="F30" s="8">
        <f t="shared" si="16"/>
        <v>54</v>
      </c>
      <c r="G30" s="8">
        <f t="shared" si="16"/>
        <v>56</v>
      </c>
      <c r="H30" s="8">
        <f t="shared" si="16"/>
        <v>58</v>
      </c>
      <c r="I30" s="8">
        <f t="shared" si="16"/>
        <v>60</v>
      </c>
      <c r="J30" s="8">
        <f t="shared" si="16"/>
        <v>62</v>
      </c>
      <c r="K30" s="8">
        <f t="shared" si="16"/>
        <v>64</v>
      </c>
      <c r="L30" s="8">
        <f t="shared" si="16"/>
        <v>66</v>
      </c>
      <c r="N30" s="8">
        <f>SUM(N5:N25)</f>
        <v>23</v>
      </c>
      <c r="O30" s="8">
        <f>SUM(O5:O25)</f>
        <v>69</v>
      </c>
    </row>
    <row r="32" spans="1:18" ht="15" customHeight="1" x14ac:dyDescent="0.25">
      <c r="A32" s="4" t="s">
        <v>124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</row>
    <row r="33" spans="1:18" ht="23.25" customHeight="1" x14ac:dyDescent="0.25">
      <c r="A33" s="10" t="s">
        <v>125</v>
      </c>
      <c r="B33" s="10" t="s">
        <v>126</v>
      </c>
      <c r="C33" s="10" t="s">
        <v>127</v>
      </c>
      <c r="D33" s="10" t="s">
        <v>128</v>
      </c>
      <c r="E33" s="10" t="s">
        <v>129</v>
      </c>
      <c r="F33" s="10" t="s">
        <v>130</v>
      </c>
      <c r="G33" s="10" t="s">
        <v>131</v>
      </c>
      <c r="H33" s="10" t="s">
        <v>132</v>
      </c>
      <c r="I33" s="10" t="s">
        <v>133</v>
      </c>
      <c r="J33" s="10" t="s">
        <v>134</v>
      </c>
      <c r="K33" s="10" t="s">
        <v>135</v>
      </c>
      <c r="L33" s="10" t="s">
        <v>136</v>
      </c>
      <c r="N33" s="10" t="s">
        <v>137</v>
      </c>
    </row>
    <row r="34" spans="1:18" ht="15" customHeight="1" x14ac:dyDescent="0.25">
      <c r="A34" s="2" t="s">
        <v>206</v>
      </c>
      <c r="B34" s="14">
        <f>B5*B7*12</f>
        <v>148500</v>
      </c>
      <c r="C34" s="14">
        <f t="shared" ref="C34:F38" si="17">B34*(1+$N34)</f>
        <v>155925</v>
      </c>
      <c r="D34" s="14">
        <f t="shared" si="17"/>
        <v>163721.25</v>
      </c>
      <c r="E34" s="14">
        <f t="shared" si="17"/>
        <v>171907.3125</v>
      </c>
      <c r="F34" s="14">
        <f t="shared" si="17"/>
        <v>180502.67812500001</v>
      </c>
      <c r="G34" s="14">
        <f t="shared" ref="G34:L34" si="18">F34*(1+$N34)</f>
        <v>189527.81203125001</v>
      </c>
      <c r="H34" s="14">
        <f t="shared" si="18"/>
        <v>199004.20263281252</v>
      </c>
      <c r="I34" s="14">
        <f t="shared" si="18"/>
        <v>208954.41276445315</v>
      </c>
      <c r="J34" s="14">
        <f t="shared" si="18"/>
        <v>219402.13340267583</v>
      </c>
      <c r="K34" s="14">
        <f t="shared" si="18"/>
        <v>230372.24007280963</v>
      </c>
      <c r="L34" s="14">
        <f t="shared" si="18"/>
        <v>241890.85207645013</v>
      </c>
      <c r="N34" s="15">
        <v>0.05</v>
      </c>
    </row>
    <row r="35" spans="1:18" ht="15" customHeight="1" x14ac:dyDescent="0.25">
      <c r="A35" s="2" t="s">
        <v>207</v>
      </c>
      <c r="B35" s="14">
        <f>$O10*Assumption!$D$10*12</f>
        <v>6000</v>
      </c>
      <c r="C35" s="14">
        <f t="shared" si="17"/>
        <v>6300</v>
      </c>
      <c r="D35" s="14">
        <f t="shared" si="17"/>
        <v>6615</v>
      </c>
      <c r="E35" s="14">
        <f t="shared" si="17"/>
        <v>6945.75</v>
      </c>
      <c r="F35" s="14">
        <f t="shared" si="17"/>
        <v>7293.0375000000004</v>
      </c>
      <c r="G35" s="14">
        <f t="shared" ref="G35:L35" si="19">F35*(1+$N35)</f>
        <v>7657.6893750000008</v>
      </c>
      <c r="H35" s="14">
        <f t="shared" si="19"/>
        <v>8040.5738437500013</v>
      </c>
      <c r="I35" s="14">
        <f t="shared" si="19"/>
        <v>8442.6025359375017</v>
      </c>
      <c r="J35" s="14">
        <f t="shared" si="19"/>
        <v>8864.7326627343773</v>
      </c>
      <c r="K35" s="14">
        <f t="shared" si="19"/>
        <v>9307.9692958710966</v>
      </c>
      <c r="L35" s="14">
        <f t="shared" si="19"/>
        <v>9773.3677606646525</v>
      </c>
      <c r="N35" s="15">
        <v>0.05</v>
      </c>
    </row>
    <row r="36" spans="1:18" ht="15" hidden="1" customHeight="1" x14ac:dyDescent="0.25">
      <c r="A36" s="2" t="s">
        <v>208</v>
      </c>
      <c r="B36" s="14">
        <f>$O15*Assumption!$D$12*12</f>
        <v>0</v>
      </c>
      <c r="C36" s="14">
        <f t="shared" si="17"/>
        <v>0</v>
      </c>
      <c r="D36" s="14">
        <f t="shared" si="17"/>
        <v>0</v>
      </c>
      <c r="E36" s="14">
        <f t="shared" si="17"/>
        <v>0</v>
      </c>
      <c r="F36" s="14">
        <f t="shared" si="17"/>
        <v>0</v>
      </c>
      <c r="G36" s="14">
        <f t="shared" ref="G36:L36" si="20">F36*(1+$N36)</f>
        <v>0</v>
      </c>
      <c r="H36" s="14">
        <f t="shared" si="20"/>
        <v>0</v>
      </c>
      <c r="I36" s="14">
        <f t="shared" si="20"/>
        <v>0</v>
      </c>
      <c r="J36" s="14">
        <f t="shared" si="20"/>
        <v>0</v>
      </c>
      <c r="K36" s="14">
        <f t="shared" si="20"/>
        <v>0</v>
      </c>
      <c r="L36" s="14">
        <f t="shared" si="20"/>
        <v>0</v>
      </c>
      <c r="N36" s="15">
        <v>0.05</v>
      </c>
    </row>
    <row r="37" spans="1:18" ht="15" hidden="1" customHeight="1" x14ac:dyDescent="0.25">
      <c r="A37" s="2" t="s">
        <v>209</v>
      </c>
      <c r="B37" s="14">
        <f>$O20*Assumption!$D$14*12</f>
        <v>0</v>
      </c>
      <c r="C37" s="14">
        <f t="shared" si="17"/>
        <v>0</v>
      </c>
      <c r="D37" s="14">
        <f t="shared" si="17"/>
        <v>0</v>
      </c>
      <c r="E37" s="14">
        <f t="shared" si="17"/>
        <v>0</v>
      </c>
      <c r="F37" s="14">
        <f t="shared" si="17"/>
        <v>0</v>
      </c>
      <c r="G37" s="14">
        <f t="shared" ref="G37:L37" si="21">F37*(1+$N37)</f>
        <v>0</v>
      </c>
      <c r="H37" s="14">
        <f t="shared" si="21"/>
        <v>0</v>
      </c>
      <c r="I37" s="14">
        <f t="shared" si="21"/>
        <v>0</v>
      </c>
      <c r="J37" s="14">
        <f t="shared" si="21"/>
        <v>0</v>
      </c>
      <c r="K37" s="14">
        <f t="shared" si="21"/>
        <v>0</v>
      </c>
      <c r="L37" s="14">
        <f t="shared" si="21"/>
        <v>0</v>
      </c>
      <c r="N37" s="15">
        <v>0.05</v>
      </c>
    </row>
    <row r="38" spans="1:18" ht="15" hidden="1" customHeight="1" x14ac:dyDescent="0.25">
      <c r="A38" s="2" t="s">
        <v>210</v>
      </c>
      <c r="B38" s="14">
        <f>$O25*Assumption!$D$16*12</f>
        <v>0</v>
      </c>
      <c r="C38" s="14">
        <f t="shared" si="17"/>
        <v>0</v>
      </c>
      <c r="D38" s="14">
        <f t="shared" si="17"/>
        <v>0</v>
      </c>
      <c r="E38" s="14">
        <f t="shared" si="17"/>
        <v>0</v>
      </c>
      <c r="F38" s="14">
        <f t="shared" si="17"/>
        <v>0</v>
      </c>
      <c r="G38" s="14">
        <f t="shared" ref="G38:L38" si="22">F38*(1+$N38)</f>
        <v>0</v>
      </c>
      <c r="H38" s="14">
        <f t="shared" si="22"/>
        <v>0</v>
      </c>
      <c r="I38" s="14">
        <f t="shared" si="22"/>
        <v>0</v>
      </c>
      <c r="J38" s="14">
        <f t="shared" si="22"/>
        <v>0</v>
      </c>
      <c r="K38" s="14">
        <f t="shared" si="22"/>
        <v>0</v>
      </c>
      <c r="L38" s="14">
        <f t="shared" si="22"/>
        <v>0</v>
      </c>
      <c r="N38" s="15">
        <v>0.05</v>
      </c>
    </row>
    <row r="39" spans="1:18" ht="15" customHeight="1" x14ac:dyDescent="0.25">
      <c r="A39" s="2" t="s">
        <v>138</v>
      </c>
      <c r="B39" s="14">
        <f>(((B5-$O$5)*B7)+((B10-$O$10)*B12))+((B15-$O$15)*B17)+((B20-$O$20)*B22)+((B25-$O$25)*B27)</f>
        <v>-6325</v>
      </c>
      <c r="C39" s="14">
        <f t="shared" ref="C39:L39" si="23">(((C5-$O$5)*C7)+((C10-$O$10)*C12))+((C15-$O$15)*C17)+((C20-$O$20)*C22)+((C25-$O$25)*C27)</f>
        <v>-6063.75</v>
      </c>
      <c r="D39" s="14">
        <f t="shared" si="23"/>
        <v>-5760.5625</v>
      </c>
      <c r="E39" s="14">
        <f t="shared" si="23"/>
        <v>-5411.8968750000004</v>
      </c>
      <c r="F39" s="14">
        <f t="shared" si="23"/>
        <v>-5013.9632812500004</v>
      </c>
      <c r="G39" s="14">
        <f t="shared" si="23"/>
        <v>-4562.7065859375007</v>
      </c>
      <c r="H39" s="14">
        <f t="shared" si="23"/>
        <v>-4053.7893128906253</v>
      </c>
      <c r="I39" s="14">
        <f t="shared" si="23"/>
        <v>-3482.5735460742194</v>
      </c>
      <c r="J39" s="14">
        <f t="shared" si="23"/>
        <v>-2844.1017292939459</v>
      </c>
      <c r="K39" s="14">
        <f t="shared" si="23"/>
        <v>-2133.0762969704597</v>
      </c>
      <c r="L39" s="14">
        <f t="shared" si="23"/>
        <v>-1343.8380670913896</v>
      </c>
      <c r="N39" s="3" t="s">
        <v>139</v>
      </c>
    </row>
    <row r="40" spans="1:18" ht="15" hidden="1" customHeight="1" x14ac:dyDescent="0.25">
      <c r="A40" s="2" t="s">
        <v>140</v>
      </c>
      <c r="B40" s="6">
        <v>0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</row>
    <row r="41" spans="1:18" ht="15" hidden="1" customHeight="1" x14ac:dyDescent="0.25">
      <c r="A41" s="2" t="s">
        <v>141</v>
      </c>
      <c r="B41" s="6">
        <v>0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</row>
    <row r="42" spans="1:18" ht="15" customHeight="1" x14ac:dyDescent="0.25">
      <c r="A42" s="2" t="s">
        <v>219</v>
      </c>
      <c r="B42" s="14">
        <v>13655</v>
      </c>
      <c r="C42" s="14">
        <f>C53*$O$42</f>
        <v>14064.650000000001</v>
      </c>
      <c r="D42" s="14">
        <f t="shared" ref="D42:L42" si="24">D53*$O$42</f>
        <v>14486.5895</v>
      </c>
      <c r="E42" s="14">
        <f t="shared" si="24"/>
        <v>14921.187185000001</v>
      </c>
      <c r="F42" s="14">
        <f t="shared" si="24"/>
        <v>15368.82280055</v>
      </c>
      <c r="G42" s="14">
        <f t="shared" si="24"/>
        <v>15829.887484566501</v>
      </c>
      <c r="H42" s="14">
        <f t="shared" si="24"/>
        <v>16304.784109103499</v>
      </c>
      <c r="I42" s="14">
        <f t="shared" si="24"/>
        <v>16793.927632376606</v>
      </c>
      <c r="J42" s="14">
        <f t="shared" si="24"/>
        <v>17297.745461347902</v>
      </c>
      <c r="K42" s="14">
        <f t="shared" si="24"/>
        <v>17816.677825188341</v>
      </c>
      <c r="L42" s="14">
        <f t="shared" si="24"/>
        <v>18351.178159943993</v>
      </c>
      <c r="N42" s="2" t="s">
        <v>231</v>
      </c>
      <c r="O42" s="59">
        <f>B42/B53</f>
        <v>0.97563589597027722</v>
      </c>
    </row>
    <row r="43" spans="1:18" ht="15" customHeight="1" x14ac:dyDescent="0.25">
      <c r="A43" s="2" t="s">
        <v>142</v>
      </c>
      <c r="B43" s="14">
        <f>-$N$43*(SUM(B34:B38)+B39+B40+B41)</f>
        <v>-2963.5</v>
      </c>
      <c r="C43" s="14">
        <f>-$N$43*(SUM(C34:C38)+C39+C40+C41)</f>
        <v>-3123.2249999999999</v>
      </c>
      <c r="D43" s="14">
        <f>-$N$43*(SUM(D34:D38)+D39+D40+D41)</f>
        <v>-3291.5137500000001</v>
      </c>
      <c r="E43" s="14">
        <f>-$N$43*(SUM(E34:E38)+E39+E40+E41)</f>
        <v>-3468.8233125000002</v>
      </c>
      <c r="F43" s="14">
        <f>-$N$43*(SUM(F34:F38)+F39+F40+F41)</f>
        <v>-3655.6350468750002</v>
      </c>
      <c r="G43" s="14">
        <f t="shared" ref="G43:L43" si="25">-$N$43*(SUM(G34:G38)+G39+G40+G41)</f>
        <v>-3852.4558964062498</v>
      </c>
      <c r="H43" s="14">
        <f t="shared" si="25"/>
        <v>-4059.8197432734382</v>
      </c>
      <c r="I43" s="14">
        <f t="shared" si="25"/>
        <v>-4278.2888350863286</v>
      </c>
      <c r="J43" s="14">
        <f t="shared" si="25"/>
        <v>-4508.4552867223256</v>
      </c>
      <c r="K43" s="14">
        <f t="shared" si="25"/>
        <v>-4750.9426614342055</v>
      </c>
      <c r="L43" s="14">
        <f t="shared" si="25"/>
        <v>-5006.4076354004683</v>
      </c>
      <c r="N43" s="15">
        <v>0.02</v>
      </c>
      <c r="O43" s="3" t="s">
        <v>143</v>
      </c>
    </row>
    <row r="44" spans="1:18" ht="15" customHeight="1" x14ac:dyDescent="0.25">
      <c r="A44" s="7" t="s">
        <v>82</v>
      </c>
      <c r="B44" s="9">
        <f t="shared" ref="B44:L44" si="26">SUM(B34:B43)</f>
        <v>158866.5</v>
      </c>
      <c r="C44" s="9">
        <f t="shared" si="26"/>
        <v>167102.67499999999</v>
      </c>
      <c r="D44" s="9">
        <f t="shared" si="26"/>
        <v>175770.76324999999</v>
      </c>
      <c r="E44" s="9">
        <f t="shared" si="26"/>
        <v>184893.52949749999</v>
      </c>
      <c r="F44" s="9">
        <f t="shared" si="26"/>
        <v>194494.94009742502</v>
      </c>
      <c r="G44" s="9">
        <f t="shared" si="26"/>
        <v>204600.22640847275</v>
      </c>
      <c r="H44" s="9">
        <f t="shared" si="26"/>
        <v>215235.95152950197</v>
      </c>
      <c r="I44" s="9">
        <f t="shared" si="26"/>
        <v>226430.08055160672</v>
      </c>
      <c r="J44" s="9">
        <f t="shared" si="26"/>
        <v>238212.05451074181</v>
      </c>
      <c r="K44" s="9">
        <f t="shared" si="26"/>
        <v>250612.86823546441</v>
      </c>
      <c r="L44" s="9">
        <f t="shared" si="26"/>
        <v>263665.15229456691</v>
      </c>
    </row>
    <row r="46" spans="1:18" ht="15" customHeight="1" x14ac:dyDescent="0.25">
      <c r="A46" s="4" t="s">
        <v>144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</row>
    <row r="47" spans="1:18" ht="23.25" customHeight="1" x14ac:dyDescent="0.25">
      <c r="A47" s="10" t="s">
        <v>145</v>
      </c>
      <c r="B47" s="10" t="s">
        <v>69</v>
      </c>
      <c r="C47" s="10" t="s">
        <v>70</v>
      </c>
      <c r="D47" s="10" t="s">
        <v>71</v>
      </c>
      <c r="E47" s="10" t="s">
        <v>72</v>
      </c>
      <c r="F47" s="10" t="s">
        <v>73</v>
      </c>
      <c r="G47" s="10" t="s">
        <v>74</v>
      </c>
      <c r="H47" s="10" t="s">
        <v>75</v>
      </c>
      <c r="I47" s="10" t="s">
        <v>76</v>
      </c>
      <c r="J47" s="10" t="s">
        <v>77</v>
      </c>
      <c r="K47" s="10" t="s">
        <v>78</v>
      </c>
      <c r="L47" s="10" t="s">
        <v>79</v>
      </c>
      <c r="N47" s="10" t="s">
        <v>146</v>
      </c>
      <c r="O47" s="10" t="s">
        <v>147</v>
      </c>
      <c r="P47" s="10" t="s">
        <v>148</v>
      </c>
      <c r="Q47" s="10" t="s">
        <v>149</v>
      </c>
    </row>
    <row r="48" spans="1:18" ht="15" customHeight="1" x14ac:dyDescent="0.25">
      <c r="A48" s="2" t="s">
        <v>150</v>
      </c>
      <c r="B48" s="58">
        <v>4764</v>
      </c>
      <c r="C48" s="14">
        <f t="shared" ref="C48:F57" si="27">B48*(1+$N48)</f>
        <v>4906.92</v>
      </c>
      <c r="D48" s="14">
        <f t="shared" si="27"/>
        <v>5054.1275999999998</v>
      </c>
      <c r="E48" s="14">
        <f t="shared" si="27"/>
        <v>5205.7514279999996</v>
      </c>
      <c r="F48" s="14">
        <f t="shared" si="27"/>
        <v>5361.92397084</v>
      </c>
      <c r="G48" s="14">
        <f t="shared" ref="G48:L48" si="28">F48*(1+$N48)</f>
        <v>5522.7816899651998</v>
      </c>
      <c r="H48" s="14">
        <f t="shared" si="28"/>
        <v>5688.465140664156</v>
      </c>
      <c r="I48" s="14">
        <f t="shared" si="28"/>
        <v>5859.1190948840813</v>
      </c>
      <c r="J48" s="14">
        <f t="shared" si="28"/>
        <v>6034.8926677306035</v>
      </c>
      <c r="K48" s="14">
        <f t="shared" si="28"/>
        <v>6215.9394477625219</v>
      </c>
      <c r="L48" s="14">
        <f t="shared" si="28"/>
        <v>6402.4176311953979</v>
      </c>
      <c r="N48" s="15">
        <v>0.03</v>
      </c>
    </row>
    <row r="49" spans="1:18" ht="15" customHeight="1" x14ac:dyDescent="0.25">
      <c r="A49" s="2" t="s">
        <v>151</v>
      </c>
      <c r="B49" s="58">
        <v>4619</v>
      </c>
      <c r="C49" s="14">
        <f t="shared" si="27"/>
        <v>4757.57</v>
      </c>
      <c r="D49" s="14">
        <f t="shared" si="27"/>
        <v>4900.2970999999998</v>
      </c>
      <c r="E49" s="14">
        <f t="shared" si="27"/>
        <v>5047.3060130000003</v>
      </c>
      <c r="F49" s="14">
        <f t="shared" si="27"/>
        <v>5198.7251933900006</v>
      </c>
      <c r="G49" s="14">
        <f t="shared" ref="G49:L49" si="29">F49*(1+$N49)</f>
        <v>5354.6869491917005</v>
      </c>
      <c r="H49" s="14">
        <f t="shared" si="29"/>
        <v>5515.3275576674514</v>
      </c>
      <c r="I49" s="14">
        <f t="shared" si="29"/>
        <v>5680.7873843974749</v>
      </c>
      <c r="J49" s="14">
        <f t="shared" si="29"/>
        <v>5851.2110059293991</v>
      </c>
      <c r="K49" s="14">
        <f t="shared" si="29"/>
        <v>6026.7473361072816</v>
      </c>
      <c r="L49" s="14">
        <f t="shared" si="29"/>
        <v>6207.5497561905004</v>
      </c>
      <c r="N49" s="15">
        <v>0.03</v>
      </c>
    </row>
    <row r="50" spans="1:18" ht="15" customHeight="1" x14ac:dyDescent="0.25">
      <c r="A50" s="2" t="s">
        <v>220</v>
      </c>
      <c r="B50" s="58">
        <v>780</v>
      </c>
      <c r="C50" s="14">
        <f t="shared" ref="C50" si="30">B50*(1+$N50)</f>
        <v>803.4</v>
      </c>
      <c r="D50" s="14">
        <f t="shared" ref="D50" si="31">C50*(1+$N50)</f>
        <v>827.50199999999995</v>
      </c>
      <c r="E50" s="14">
        <f t="shared" ref="E50" si="32">D50*(1+$N50)</f>
        <v>852.32705999999996</v>
      </c>
      <c r="F50" s="14">
        <f t="shared" ref="F50" si="33">E50*(1+$N50)</f>
        <v>877.89687179999999</v>
      </c>
      <c r="G50" s="14">
        <f t="shared" ref="G50" si="34">F50*(1+$N50)</f>
        <v>904.23377795400006</v>
      </c>
      <c r="H50" s="14">
        <f t="shared" ref="H50" si="35">G50*(1+$N50)</f>
        <v>931.36079129262009</v>
      </c>
      <c r="I50" s="14">
        <f t="shared" ref="I50" si="36">H50*(1+$N50)</f>
        <v>959.30161503139868</v>
      </c>
      <c r="J50" s="14">
        <f t="shared" ref="J50" si="37">I50*(1+$N50)</f>
        <v>988.0806634823407</v>
      </c>
      <c r="K50" s="14">
        <f t="shared" ref="K50" si="38">J50*(1+$N50)</f>
        <v>1017.7230833868109</v>
      </c>
      <c r="L50" s="14">
        <f t="shared" ref="L50" si="39">K50*(1+$N50)</f>
        <v>1048.2547758884152</v>
      </c>
      <c r="N50" s="15">
        <v>0.03</v>
      </c>
    </row>
    <row r="51" spans="1:18" ht="15" hidden="1" customHeight="1" x14ac:dyDescent="0.25">
      <c r="A51" s="2" t="s">
        <v>221</v>
      </c>
      <c r="B51" s="14">
        <v>0</v>
      </c>
      <c r="C51" s="14">
        <f t="shared" si="27"/>
        <v>0</v>
      </c>
      <c r="D51" s="14">
        <f t="shared" si="27"/>
        <v>0</v>
      </c>
      <c r="E51" s="14">
        <f t="shared" si="27"/>
        <v>0</v>
      </c>
      <c r="F51" s="14">
        <f t="shared" si="27"/>
        <v>0</v>
      </c>
      <c r="G51" s="14">
        <f t="shared" ref="G51:L51" si="40">F51*(1+$N51)</f>
        <v>0</v>
      </c>
      <c r="H51" s="14">
        <f t="shared" si="40"/>
        <v>0</v>
      </c>
      <c r="I51" s="14">
        <f t="shared" si="40"/>
        <v>0</v>
      </c>
      <c r="J51" s="14">
        <f t="shared" si="40"/>
        <v>0</v>
      </c>
      <c r="K51" s="14">
        <f t="shared" si="40"/>
        <v>0</v>
      </c>
      <c r="L51" s="14">
        <f t="shared" si="40"/>
        <v>0</v>
      </c>
      <c r="N51" s="15">
        <v>0.03</v>
      </c>
      <c r="O51" s="6">
        <v>15</v>
      </c>
      <c r="P51" s="13">
        <f>B30</f>
        <v>46</v>
      </c>
      <c r="Q51" s="14">
        <f>O51*P51*12</f>
        <v>8280</v>
      </c>
      <c r="R51" s="3" t="s">
        <v>152</v>
      </c>
    </row>
    <row r="52" spans="1:18" ht="15" hidden="1" customHeight="1" x14ac:dyDescent="0.25">
      <c r="A52" s="2" t="s">
        <v>222</v>
      </c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N52" s="15">
        <v>0.03</v>
      </c>
      <c r="O52" s="6"/>
      <c r="P52" s="13"/>
      <c r="Q52" s="14"/>
      <c r="R52" s="3"/>
    </row>
    <row r="53" spans="1:18" ht="15" customHeight="1" x14ac:dyDescent="0.25">
      <c r="A53" s="2" t="s">
        <v>223</v>
      </c>
      <c r="B53" s="14">
        <v>13996</v>
      </c>
      <c r="C53" s="14">
        <f t="shared" ref="C53" si="41">B53*(1+$N53)</f>
        <v>14415.880000000001</v>
      </c>
      <c r="D53" s="14">
        <f t="shared" ref="D53" si="42">C53*(1+$N53)</f>
        <v>14848.356400000001</v>
      </c>
      <c r="E53" s="14">
        <f t="shared" ref="E53" si="43">D53*(1+$N53)</f>
        <v>15293.807092000001</v>
      </c>
      <c r="F53" s="14">
        <f t="shared" ref="F53" si="44">E53*(1+$N53)</f>
        <v>15752.621304760001</v>
      </c>
      <c r="G53" s="14">
        <f t="shared" ref="G53" si="45">F53*(1+$N53)</f>
        <v>16225.199943902802</v>
      </c>
      <c r="H53" s="14">
        <f t="shared" ref="H53" si="46">G53*(1+$N53)</f>
        <v>16711.955942219887</v>
      </c>
      <c r="I53" s="14">
        <f t="shared" ref="I53" si="47">H53*(1+$N53)</f>
        <v>17213.314620486486</v>
      </c>
      <c r="J53" s="14">
        <f t="shared" ref="J53" si="48">I53*(1+$N53)</f>
        <v>17729.714059101079</v>
      </c>
      <c r="K53" s="14">
        <f t="shared" ref="K53" si="49">J53*(1+$N53)</f>
        <v>18261.605480874114</v>
      </c>
      <c r="L53" s="14">
        <f t="shared" ref="L53" si="50">K53*(1+$N53)</f>
        <v>18809.453645300338</v>
      </c>
      <c r="N53" s="15">
        <v>0.03</v>
      </c>
      <c r="O53" s="6"/>
      <c r="P53" s="13"/>
      <c r="Q53" s="14"/>
      <c r="R53" s="3"/>
    </row>
    <row r="54" spans="1:18" ht="15" customHeight="1" x14ac:dyDescent="0.25">
      <c r="A54" s="2" t="s">
        <v>153</v>
      </c>
      <c r="B54" s="14">
        <v>1245</v>
      </c>
      <c r="C54" s="14">
        <f t="shared" ref="C54:L54" si="51">B54*(1+$N54)</f>
        <v>1282.3500000000001</v>
      </c>
      <c r="D54" s="14">
        <f t="shared" si="51"/>
        <v>1320.8205000000003</v>
      </c>
      <c r="E54" s="14">
        <f t="shared" si="51"/>
        <v>1360.4451150000002</v>
      </c>
      <c r="F54" s="14">
        <f t="shared" si="51"/>
        <v>1401.2584684500002</v>
      </c>
      <c r="G54" s="14">
        <f t="shared" si="51"/>
        <v>1443.2962225035003</v>
      </c>
      <c r="H54" s="14">
        <f t="shared" si="51"/>
        <v>1486.5951091786053</v>
      </c>
      <c r="I54" s="14">
        <f t="shared" si="51"/>
        <v>1531.1929624539634</v>
      </c>
      <c r="J54" s="14">
        <f t="shared" si="51"/>
        <v>1577.1287513275824</v>
      </c>
      <c r="K54" s="14">
        <f t="shared" si="51"/>
        <v>1624.44261386741</v>
      </c>
      <c r="L54" s="14">
        <f t="shared" si="51"/>
        <v>1673.1758922834324</v>
      </c>
      <c r="N54" s="15">
        <v>0.03</v>
      </c>
      <c r="O54" s="6"/>
      <c r="P54" s="13"/>
      <c r="Q54" s="14"/>
      <c r="R54" s="3"/>
    </row>
    <row r="55" spans="1:18" ht="15" customHeight="1" x14ac:dyDescent="0.25">
      <c r="A55" s="2" t="s">
        <v>224</v>
      </c>
      <c r="B55" s="14">
        <v>8400</v>
      </c>
      <c r="C55" s="14">
        <f t="shared" ref="C55:L55" si="52">B55*(1+$N55)</f>
        <v>8652</v>
      </c>
      <c r="D55" s="14">
        <f t="shared" si="52"/>
        <v>8911.56</v>
      </c>
      <c r="E55" s="14">
        <f t="shared" si="52"/>
        <v>9178.9067999999988</v>
      </c>
      <c r="F55" s="14">
        <f t="shared" si="52"/>
        <v>9454.274003999999</v>
      </c>
      <c r="G55" s="14">
        <f t="shared" si="52"/>
        <v>9737.90222412</v>
      </c>
      <c r="H55" s="14">
        <f t="shared" si="52"/>
        <v>10030.039290843601</v>
      </c>
      <c r="I55" s="14">
        <f t="shared" si="52"/>
        <v>10330.940469568908</v>
      </c>
      <c r="J55" s="14">
        <f t="shared" si="52"/>
        <v>10640.868683655975</v>
      </c>
      <c r="K55" s="14">
        <f t="shared" si="52"/>
        <v>10960.094744165655</v>
      </c>
      <c r="L55" s="14">
        <f t="shared" si="52"/>
        <v>11288.897586490626</v>
      </c>
      <c r="N55" s="15">
        <v>0.03</v>
      </c>
      <c r="O55" s="6"/>
      <c r="P55" s="13"/>
      <c r="Q55" s="14"/>
      <c r="R55" s="3"/>
    </row>
    <row r="56" spans="1:18" ht="15" hidden="1" customHeight="1" x14ac:dyDescent="0.25">
      <c r="A56" s="2" t="s">
        <v>225</v>
      </c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N56" s="15">
        <v>0.03</v>
      </c>
      <c r="O56" s="6"/>
      <c r="P56" s="13"/>
      <c r="Q56" s="14"/>
      <c r="R56" s="3"/>
    </row>
    <row r="57" spans="1:18" ht="15" hidden="1" customHeight="1" x14ac:dyDescent="0.25">
      <c r="A57" s="2" t="s">
        <v>226</v>
      </c>
      <c r="B57" s="14">
        <v>0</v>
      </c>
      <c r="C57" s="14">
        <f t="shared" si="27"/>
        <v>0</v>
      </c>
      <c r="D57" s="14">
        <f t="shared" si="27"/>
        <v>0</v>
      </c>
      <c r="E57" s="14">
        <f t="shared" si="27"/>
        <v>0</v>
      </c>
      <c r="F57" s="14">
        <f t="shared" si="27"/>
        <v>0</v>
      </c>
      <c r="G57" s="14">
        <f t="shared" ref="G57:L57" si="53">F57*(1+$N57)</f>
        <v>0</v>
      </c>
      <c r="H57" s="14">
        <f t="shared" si="53"/>
        <v>0</v>
      </c>
      <c r="I57" s="14">
        <f t="shared" si="53"/>
        <v>0</v>
      </c>
      <c r="J57" s="14">
        <f t="shared" si="53"/>
        <v>0</v>
      </c>
      <c r="K57" s="14">
        <f t="shared" si="53"/>
        <v>0</v>
      </c>
      <c r="L57" s="14">
        <f t="shared" si="53"/>
        <v>0</v>
      </c>
      <c r="N57" s="15">
        <v>0.03</v>
      </c>
      <c r="O57" s="6">
        <v>100</v>
      </c>
      <c r="P57" s="6">
        <v>150</v>
      </c>
      <c r="Q57" s="14">
        <f>(B5*O57)+(B10+B15+B20+B25)*P57</f>
        <v>4650</v>
      </c>
      <c r="R57" s="3"/>
    </row>
    <row r="58" spans="1:18" ht="15" customHeight="1" x14ac:dyDescent="0.25">
      <c r="A58" s="2" t="s">
        <v>227</v>
      </c>
      <c r="B58" s="14">
        <v>750</v>
      </c>
      <c r="C58" s="14">
        <f t="shared" ref="C58" si="54">B58*(1+$N58)</f>
        <v>772.5</v>
      </c>
      <c r="D58" s="14">
        <f t="shared" ref="D58" si="55">C58*(1+$N58)</f>
        <v>795.67500000000007</v>
      </c>
      <c r="E58" s="14">
        <f t="shared" ref="E58" si="56">D58*(1+$N58)</f>
        <v>819.54525000000012</v>
      </c>
      <c r="F58" s="14">
        <f t="shared" ref="F58" si="57">E58*(1+$N58)</f>
        <v>844.1316075000002</v>
      </c>
      <c r="G58" s="14">
        <f t="shared" ref="G58" si="58">F58*(1+$N58)</f>
        <v>869.45555572500018</v>
      </c>
      <c r="H58" s="14">
        <f t="shared" ref="H58" si="59">G58*(1+$N58)</f>
        <v>895.53922239675023</v>
      </c>
      <c r="I58" s="14">
        <f t="shared" ref="I58" si="60">H58*(1+$N58)</f>
        <v>922.40539906865274</v>
      </c>
      <c r="J58" s="14">
        <f t="shared" ref="J58" si="61">I58*(1+$N58)</f>
        <v>950.07756104071234</v>
      </c>
      <c r="K58" s="14">
        <f t="shared" ref="K58" si="62">J58*(1+$N58)</f>
        <v>978.57988787193369</v>
      </c>
      <c r="L58" s="14">
        <f t="shared" ref="L58" si="63">K58*(1+$N58)</f>
        <v>1007.9372845080917</v>
      </c>
      <c r="N58" s="15">
        <v>0.03</v>
      </c>
      <c r="O58" s="6"/>
      <c r="P58" s="90"/>
      <c r="Q58" s="14"/>
      <c r="R58" s="3"/>
    </row>
    <row r="59" spans="1:18" ht="15" hidden="1" customHeight="1" x14ac:dyDescent="0.25">
      <c r="A59" s="2" t="s">
        <v>228</v>
      </c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N59" s="15">
        <v>0.03</v>
      </c>
      <c r="O59" s="6"/>
      <c r="P59" s="6"/>
      <c r="Q59" s="14"/>
      <c r="R59" s="3"/>
    </row>
    <row r="60" spans="1:18" ht="15" hidden="1" customHeight="1" x14ac:dyDescent="0.25">
      <c r="A60" s="2" t="s">
        <v>229</v>
      </c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N60" s="15">
        <v>0.03</v>
      </c>
      <c r="O60" s="6"/>
      <c r="P60" s="6"/>
      <c r="Q60" s="14"/>
      <c r="R60" s="3"/>
    </row>
    <row r="61" spans="1:18" ht="15" hidden="1" customHeight="1" x14ac:dyDescent="0.25">
      <c r="A61" s="2" t="s">
        <v>230</v>
      </c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N61" s="15">
        <v>0.03</v>
      </c>
      <c r="O61" s="6"/>
      <c r="P61" s="6"/>
      <c r="Q61" s="14"/>
      <c r="R61" s="3"/>
    </row>
    <row r="62" spans="1:18" ht="15" customHeight="1" x14ac:dyDescent="0.25">
      <c r="A62" s="2" t="s">
        <v>154</v>
      </c>
      <c r="B62" s="14">
        <v>13608</v>
      </c>
      <c r="C62" s="14">
        <f t="shared" ref="C62:L62" si="64">C44*$N$62</f>
        <v>8355.1337499999991</v>
      </c>
      <c r="D62" s="14">
        <f t="shared" si="64"/>
        <v>8788.5381624999991</v>
      </c>
      <c r="E62" s="14">
        <f t="shared" si="64"/>
        <v>9244.6764748749993</v>
      </c>
      <c r="F62" s="14">
        <f t="shared" si="64"/>
        <v>9724.7470048712512</v>
      </c>
      <c r="G62" s="14">
        <f t="shared" si="64"/>
        <v>10230.011320423639</v>
      </c>
      <c r="H62" s="14">
        <f t="shared" si="64"/>
        <v>10761.797576475099</v>
      </c>
      <c r="I62" s="14">
        <f t="shared" si="64"/>
        <v>11321.504027580337</v>
      </c>
      <c r="J62" s="14">
        <f t="shared" si="64"/>
        <v>11910.602725537092</v>
      </c>
      <c r="K62" s="14">
        <f t="shared" si="64"/>
        <v>12530.643411773221</v>
      </c>
      <c r="L62" s="14">
        <f t="shared" si="64"/>
        <v>13183.257614728347</v>
      </c>
      <c r="N62" s="15">
        <v>0.05</v>
      </c>
      <c r="R62" s="3"/>
    </row>
    <row r="63" spans="1:18" ht="15" customHeight="1" x14ac:dyDescent="0.25">
      <c r="A63" s="7" t="s">
        <v>85</v>
      </c>
      <c r="B63" s="9">
        <f t="shared" ref="B63:L63" si="65">SUM(B48:B62)</f>
        <v>48162</v>
      </c>
      <c r="C63" s="9">
        <f t="shared" si="65"/>
        <v>43945.753749999996</v>
      </c>
      <c r="D63" s="9">
        <f t="shared" si="65"/>
        <v>45446.876762500004</v>
      </c>
      <c r="E63" s="9">
        <f t="shared" si="65"/>
        <v>47002.765232875005</v>
      </c>
      <c r="F63" s="9">
        <f t="shared" si="65"/>
        <v>48615.578425611253</v>
      </c>
      <c r="G63" s="9">
        <f t="shared" si="65"/>
        <v>50287.567683785841</v>
      </c>
      <c r="H63" s="9">
        <f t="shared" si="65"/>
        <v>52021.080630738172</v>
      </c>
      <c r="I63" s="9">
        <f t="shared" si="65"/>
        <v>53818.565573471293</v>
      </c>
      <c r="J63" s="9">
        <f t="shared" si="65"/>
        <v>55682.576117804791</v>
      </c>
      <c r="K63" s="9">
        <f t="shared" si="65"/>
        <v>57615.776005808948</v>
      </c>
      <c r="L63" s="9">
        <f t="shared" si="65"/>
        <v>59620.944186585155</v>
      </c>
    </row>
    <row r="64" spans="1:18" ht="15" customHeight="1" x14ac:dyDescent="0.25">
      <c r="A64" s="16" t="s">
        <v>155</v>
      </c>
      <c r="B64" s="17">
        <f t="shared" ref="B64:L64" si="66">B44-B63</f>
        <v>110704.5</v>
      </c>
      <c r="C64" s="17">
        <f t="shared" si="66"/>
        <v>123156.92124999998</v>
      </c>
      <c r="D64" s="17">
        <f t="shared" si="66"/>
        <v>130323.88648749999</v>
      </c>
      <c r="E64" s="17">
        <f t="shared" si="66"/>
        <v>137890.76426462497</v>
      </c>
      <c r="F64" s="17">
        <f t="shared" si="66"/>
        <v>145879.36167181376</v>
      </c>
      <c r="G64" s="17">
        <f t="shared" si="66"/>
        <v>154312.65872468692</v>
      </c>
      <c r="H64" s="17">
        <f t="shared" si="66"/>
        <v>163214.87089876379</v>
      </c>
      <c r="I64" s="17">
        <f t="shared" si="66"/>
        <v>172611.51497813541</v>
      </c>
      <c r="J64" s="17">
        <f t="shared" si="66"/>
        <v>182529.47839293702</v>
      </c>
      <c r="K64" s="17">
        <f t="shared" si="66"/>
        <v>192997.09222965548</v>
      </c>
      <c r="L64" s="17">
        <f t="shared" si="66"/>
        <v>204044.20810798177</v>
      </c>
    </row>
    <row r="65" spans="1:12" x14ac:dyDescent="0.25">
      <c r="A65" s="40" t="s">
        <v>188</v>
      </c>
      <c r="B65" s="41">
        <f t="shared" ref="B65:L65" si="67">B63/B44</f>
        <v>0.30316020054574122</v>
      </c>
      <c r="C65" s="41">
        <f t="shared" si="67"/>
        <v>0.2629865365710034</v>
      </c>
      <c r="D65" s="41">
        <f t="shared" si="67"/>
        <v>0.25855765727011487</v>
      </c>
      <c r="E65" s="41">
        <f t="shared" si="67"/>
        <v>0.25421530629340139</v>
      </c>
      <c r="F65" s="41">
        <f t="shared" si="67"/>
        <v>0.24995806266866935</v>
      </c>
      <c r="G65" s="41">
        <f t="shared" si="67"/>
        <v>0.24578451630541973</v>
      </c>
      <c r="H65" s="41">
        <f t="shared" si="67"/>
        <v>0.24169326853189646</v>
      </c>
      <c r="I65" s="41">
        <f t="shared" si="67"/>
        <v>0.23768293259607465</v>
      </c>
      <c r="J65" s="41">
        <f t="shared" si="67"/>
        <v>0.23375213413179252</v>
      </c>
      <c r="K65" s="41">
        <f t="shared" si="67"/>
        <v>0.22989951159122363</v>
      </c>
      <c r="L65" s="41">
        <f t="shared" si="67"/>
        <v>0.22612371664487763</v>
      </c>
    </row>
  </sheetData>
  <pageMargins left="0.75" right="0.75" top="1" bottom="1" header="0.511811023622047" footer="0.511811023622047"/>
  <pageSetup paperSize="9" orientation="portrait" horizontalDpi="300" verticalDpi="300" r:id="rId1"/>
  <ignoredErrors>
    <ignoredError sqref="B16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63B7E-F55A-4CD0-89A5-5A09B9D1A298}">
  <dimension ref="A1:R36"/>
  <sheetViews>
    <sheetView showGridLines="0" topLeftCell="A2" zoomScaleNormal="100" workbookViewId="0">
      <selection activeCell="A15" sqref="A15"/>
    </sheetView>
  </sheetViews>
  <sheetFormatPr defaultColWidth="8.7109375" defaultRowHeight="15" x14ac:dyDescent="0.25"/>
  <cols>
    <col min="1" max="1" width="25.140625" customWidth="1"/>
    <col min="2" max="2" width="15" customWidth="1"/>
    <col min="3" max="12" width="13" customWidth="1"/>
    <col min="13" max="13" width="3" customWidth="1"/>
    <col min="14" max="14" width="16" customWidth="1"/>
    <col min="15" max="15" width="14" customWidth="1"/>
    <col min="16" max="16" width="9.7109375" customWidth="1"/>
    <col min="17" max="17" width="13" customWidth="1"/>
    <col min="18" max="18" width="60" customWidth="1"/>
  </cols>
  <sheetData>
    <row r="1" spans="1:16" ht="18" customHeight="1" x14ac:dyDescent="0.3">
      <c r="A1" s="1" t="s">
        <v>107</v>
      </c>
    </row>
    <row r="2" spans="1:16" ht="15" customHeight="1" x14ac:dyDescent="0.25">
      <c r="A2" s="3" t="s">
        <v>108</v>
      </c>
    </row>
    <row r="3" spans="1:16" ht="23.25" customHeight="1" x14ac:dyDescent="0.25">
      <c r="A3" s="10" t="s">
        <v>109</v>
      </c>
      <c r="B3" s="52">
        <v>2018</v>
      </c>
      <c r="C3" s="52" t="s">
        <v>110</v>
      </c>
      <c r="D3" s="52" t="s">
        <v>111</v>
      </c>
      <c r="E3" s="52" t="s">
        <v>112</v>
      </c>
      <c r="F3" s="52" t="s">
        <v>113</v>
      </c>
      <c r="G3" s="52" t="s">
        <v>114</v>
      </c>
      <c r="H3" s="52" t="s">
        <v>115</v>
      </c>
      <c r="I3" s="52" t="s">
        <v>116</v>
      </c>
      <c r="J3" s="52" t="s">
        <v>117</v>
      </c>
      <c r="K3" s="52" t="s">
        <v>118</v>
      </c>
      <c r="L3" s="52" t="s">
        <v>119</v>
      </c>
      <c r="N3" s="10" t="s">
        <v>120</v>
      </c>
      <c r="O3" s="10" t="s">
        <v>121</v>
      </c>
      <c r="P3" s="10" t="s">
        <v>122</v>
      </c>
    </row>
    <row r="4" spans="1:16" ht="9.9499999999999993" customHeight="1" x14ac:dyDescent="0.25">
      <c r="A4" s="53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N4" s="53"/>
      <c r="O4" s="53"/>
      <c r="P4" s="53"/>
    </row>
    <row r="5" spans="1:16" ht="15" customHeight="1" x14ac:dyDescent="0.25">
      <c r="A5" s="55" t="s">
        <v>232</v>
      </c>
      <c r="B5" s="12">
        <f>Assumption!B8</f>
        <v>8</v>
      </c>
      <c r="C5" s="13">
        <f>MIN($O5,B5+$P5)</f>
        <v>10</v>
      </c>
      <c r="D5" s="13">
        <f>MIN($O5,C5+$P5)</f>
        <v>12</v>
      </c>
      <c r="E5" s="13">
        <f>MIN($O5,D5+$P5)</f>
        <v>14</v>
      </c>
      <c r="F5" s="13">
        <f>MIN($O5,E5+$P5)</f>
        <v>16</v>
      </c>
      <c r="G5" s="13">
        <f t="shared" ref="G5:L5" si="0">MIN($O5,F5+$P5)</f>
        <v>17</v>
      </c>
      <c r="H5" s="13">
        <f t="shared" si="0"/>
        <v>17</v>
      </c>
      <c r="I5" s="13">
        <f t="shared" si="0"/>
        <v>17</v>
      </c>
      <c r="J5" s="13">
        <f t="shared" si="0"/>
        <v>17</v>
      </c>
      <c r="K5" s="13">
        <f t="shared" si="0"/>
        <v>17</v>
      </c>
      <c r="L5" s="13">
        <f t="shared" si="0"/>
        <v>17</v>
      </c>
      <c r="N5" s="13">
        <f>O5-B5</f>
        <v>9</v>
      </c>
      <c r="O5" s="12">
        <f>SUM(Assumption!B8:B9)</f>
        <v>17</v>
      </c>
      <c r="P5" s="5">
        <v>2</v>
      </c>
    </row>
    <row r="6" spans="1:16" ht="15" customHeight="1" x14ac:dyDescent="0.25">
      <c r="A6" s="55" t="s">
        <v>211</v>
      </c>
      <c r="B6" s="56">
        <f>B5/SUM(Assumption!$B$8:$B$9)</f>
        <v>0.47058823529411764</v>
      </c>
      <c r="C6" s="56">
        <f>C5/SUM(Assumption!$B$8:$B$9)</f>
        <v>0.58823529411764708</v>
      </c>
      <c r="D6" s="56">
        <f>D5/SUM(Assumption!$B$8:$B$9)</f>
        <v>0.70588235294117652</v>
      </c>
      <c r="E6" s="56">
        <f>E5/SUM(Assumption!$B$8:$B$9)</f>
        <v>0.82352941176470584</v>
      </c>
      <c r="F6" s="56">
        <f>F5/SUM(Assumption!$B$8:$B$9)</f>
        <v>0.94117647058823528</v>
      </c>
      <c r="G6" s="56">
        <f>G5/SUM(Assumption!$B$8:$B$9)</f>
        <v>1</v>
      </c>
      <c r="H6" s="56">
        <f>H5/SUM(Assumption!$B$8:$B$9)</f>
        <v>1</v>
      </c>
      <c r="I6" s="56">
        <f>I5/SUM(Assumption!$B$8:$B$9)</f>
        <v>1</v>
      </c>
      <c r="J6" s="56">
        <f>J5/SUM(Assumption!$B$8:$B$9)</f>
        <v>1</v>
      </c>
      <c r="K6" s="56">
        <f>K5/SUM(Assumption!$B$8:$B$9)</f>
        <v>1</v>
      </c>
      <c r="L6" s="56">
        <f>L5/SUM(Assumption!$B$8:$B$9)</f>
        <v>1</v>
      </c>
      <c r="M6" s="56"/>
      <c r="N6" s="13"/>
      <c r="O6" s="12"/>
      <c r="P6" s="5"/>
    </row>
    <row r="7" spans="1:16" ht="15" customHeight="1" x14ac:dyDescent="0.25">
      <c r="A7" s="55" t="s">
        <v>239</v>
      </c>
      <c r="B7" s="12">
        <f>Assumption!D8</f>
        <v>228.125</v>
      </c>
      <c r="C7" s="13">
        <f t="shared" ref="C7:L7" si="1">B7*(1+$N$19)</f>
        <v>239.53125</v>
      </c>
      <c r="D7" s="13">
        <f t="shared" si="1"/>
        <v>251.5078125</v>
      </c>
      <c r="E7" s="13">
        <f t="shared" si="1"/>
        <v>264.08320312500001</v>
      </c>
      <c r="F7" s="13">
        <f t="shared" si="1"/>
        <v>277.28736328125001</v>
      </c>
      <c r="G7" s="13">
        <f t="shared" si="1"/>
        <v>291.15173144531252</v>
      </c>
      <c r="H7" s="13">
        <f t="shared" si="1"/>
        <v>305.70931801757814</v>
      </c>
      <c r="I7" s="13">
        <f t="shared" si="1"/>
        <v>320.99478391845707</v>
      </c>
      <c r="J7" s="13">
        <f t="shared" si="1"/>
        <v>337.04452311437996</v>
      </c>
      <c r="K7" s="13">
        <f t="shared" si="1"/>
        <v>353.89674927009895</v>
      </c>
      <c r="L7" s="13">
        <f t="shared" si="1"/>
        <v>371.59158673360389</v>
      </c>
      <c r="N7" s="13"/>
      <c r="O7" s="12"/>
      <c r="P7" s="5"/>
    </row>
    <row r="8" spans="1:16" ht="15" customHeight="1" x14ac:dyDescent="0.25">
      <c r="A8" s="55" t="s">
        <v>213</v>
      </c>
      <c r="B8" s="12"/>
      <c r="C8" s="57">
        <f>(C7-B7)/C7</f>
        <v>4.7619047619047616E-2</v>
      </c>
      <c r="D8" s="57">
        <f t="shared" ref="D8:L8" si="2">(D7-C7)/D7</f>
        <v>4.7619047619047616E-2</v>
      </c>
      <c r="E8" s="57">
        <f t="shared" si="2"/>
        <v>4.7619047619047658E-2</v>
      </c>
      <c r="F8" s="57">
        <f t="shared" si="2"/>
        <v>4.7619047619047609E-2</v>
      </c>
      <c r="G8" s="57">
        <f t="shared" si="2"/>
        <v>4.7619047619047658E-2</v>
      </c>
      <c r="H8" s="57">
        <f t="shared" si="2"/>
        <v>4.7619047619047603E-2</v>
      </c>
      <c r="I8" s="57">
        <f t="shared" si="2"/>
        <v>4.7619047619047693E-2</v>
      </c>
      <c r="J8" s="57">
        <f t="shared" si="2"/>
        <v>4.76190476190477E-2</v>
      </c>
      <c r="K8" s="57">
        <f t="shared" si="2"/>
        <v>4.7619047619047609E-2</v>
      </c>
      <c r="L8" s="57">
        <f t="shared" si="2"/>
        <v>4.7619047619047596E-2</v>
      </c>
      <c r="N8" s="13"/>
      <c r="O8" s="12"/>
      <c r="P8" s="5"/>
    </row>
    <row r="9" spans="1:16" ht="15" hidden="1" customHeight="1" x14ac:dyDescent="0.25">
      <c r="A9" s="55"/>
      <c r="B9" s="12"/>
      <c r="C9" s="13"/>
      <c r="D9" s="13"/>
      <c r="E9" s="13"/>
      <c r="F9" s="13"/>
      <c r="G9" s="13"/>
      <c r="H9" s="13"/>
      <c r="I9" s="13"/>
      <c r="J9" s="13"/>
      <c r="K9" s="13"/>
      <c r="L9" s="13"/>
      <c r="N9" s="13"/>
      <c r="O9" s="12"/>
      <c r="P9" s="5"/>
    </row>
    <row r="10" spans="1:16" ht="15" hidden="1" customHeight="1" x14ac:dyDescent="0.25">
      <c r="A10" s="55" t="s">
        <v>233</v>
      </c>
      <c r="B10" s="12">
        <f>Assumption!B18</f>
        <v>0</v>
      </c>
      <c r="C10" s="13">
        <f>MIN($O10,B10+$P10)</f>
        <v>0</v>
      </c>
      <c r="D10" s="13">
        <f>MIN($O10,C10+$P10)</f>
        <v>0</v>
      </c>
      <c r="E10" s="13">
        <f>MIN($O10,D10+$P10)</f>
        <v>0</v>
      </c>
      <c r="F10" s="13">
        <f>MIN($O10,E10+$P10)</f>
        <v>0</v>
      </c>
      <c r="G10" s="13">
        <f t="shared" ref="G10:L10" si="3">MIN($O10,F10+$P10)</f>
        <v>0</v>
      </c>
      <c r="H10" s="13">
        <f t="shared" si="3"/>
        <v>0</v>
      </c>
      <c r="I10" s="13">
        <f t="shared" si="3"/>
        <v>0</v>
      </c>
      <c r="J10" s="13">
        <f t="shared" si="3"/>
        <v>0</v>
      </c>
      <c r="K10" s="13">
        <f t="shared" si="3"/>
        <v>0</v>
      </c>
      <c r="L10" s="13">
        <f t="shared" si="3"/>
        <v>0</v>
      </c>
      <c r="N10" s="13">
        <f>O10-B10</f>
        <v>0</v>
      </c>
      <c r="O10" s="12">
        <f>Assumption!B18+Assumption!B19</f>
        <v>0</v>
      </c>
      <c r="P10" s="5">
        <v>0</v>
      </c>
    </row>
    <row r="11" spans="1:16" ht="15" hidden="1" customHeight="1" x14ac:dyDescent="0.25">
      <c r="A11" s="55" t="s">
        <v>211</v>
      </c>
      <c r="B11" s="56" t="e">
        <f>B10/SUM(Assumption!$B$18:$B$19)</f>
        <v>#DIV/0!</v>
      </c>
      <c r="C11" s="56" t="e">
        <f>C10/SUM(Assumption!$B$18:$B$19)</f>
        <v>#DIV/0!</v>
      </c>
      <c r="D11" s="56" t="e">
        <f>D10/SUM(Assumption!$B$18:$B$19)</f>
        <v>#DIV/0!</v>
      </c>
      <c r="E11" s="56" t="e">
        <f>E10/SUM(Assumption!$B$18:$B$19)</f>
        <v>#DIV/0!</v>
      </c>
      <c r="F11" s="56" t="e">
        <f>F10/SUM(Assumption!$B$18:$B$19)</f>
        <v>#DIV/0!</v>
      </c>
      <c r="G11" s="56" t="e">
        <f>G10/SUM(Assumption!$B$18:$B$19)</f>
        <v>#DIV/0!</v>
      </c>
      <c r="H11" s="56" t="e">
        <f>H10/SUM(Assumption!$B$18:$B$19)</f>
        <v>#DIV/0!</v>
      </c>
      <c r="I11" s="56" t="e">
        <f>I10/SUM(Assumption!$B$18:$B$19)</f>
        <v>#DIV/0!</v>
      </c>
      <c r="J11" s="56" t="e">
        <f>J10/SUM(Assumption!$B$18:$B$19)</f>
        <v>#DIV/0!</v>
      </c>
      <c r="K11" s="56" t="e">
        <f>K10/SUM(Assumption!$B$18:$B$19)</f>
        <v>#DIV/0!</v>
      </c>
      <c r="L11" s="56" t="e">
        <f>L10/SUM(Assumption!$B$18:$B$19)</f>
        <v>#DIV/0!</v>
      </c>
      <c r="N11" s="13"/>
      <c r="O11" s="12"/>
      <c r="P11" s="5"/>
    </row>
    <row r="12" spans="1:16" ht="15" hidden="1" customHeight="1" x14ac:dyDescent="0.25">
      <c r="A12" s="55" t="s">
        <v>240</v>
      </c>
      <c r="B12" s="12">
        <f>Assumption!D18</f>
        <v>0</v>
      </c>
      <c r="C12" s="13">
        <f t="shared" ref="C12:L12" si="4">B12*(1+$N$20)</f>
        <v>0</v>
      </c>
      <c r="D12" s="13">
        <f t="shared" si="4"/>
        <v>0</v>
      </c>
      <c r="E12" s="13">
        <f t="shared" si="4"/>
        <v>0</v>
      </c>
      <c r="F12" s="13">
        <f t="shared" si="4"/>
        <v>0</v>
      </c>
      <c r="G12" s="13">
        <f t="shared" si="4"/>
        <v>0</v>
      </c>
      <c r="H12" s="13">
        <f t="shared" si="4"/>
        <v>0</v>
      </c>
      <c r="I12" s="13">
        <f t="shared" si="4"/>
        <v>0</v>
      </c>
      <c r="J12" s="13">
        <f t="shared" si="4"/>
        <v>0</v>
      </c>
      <c r="K12" s="13">
        <f t="shared" si="4"/>
        <v>0</v>
      </c>
      <c r="L12" s="13">
        <f t="shared" si="4"/>
        <v>0</v>
      </c>
      <c r="N12" s="13"/>
      <c r="O12" s="12"/>
      <c r="P12" s="5"/>
    </row>
    <row r="13" spans="1:16" ht="15" hidden="1" customHeight="1" x14ac:dyDescent="0.25">
      <c r="A13" s="55" t="s">
        <v>213</v>
      </c>
      <c r="B13" s="12"/>
      <c r="C13" s="57" t="e">
        <f>(C12-B12)/C12</f>
        <v>#DIV/0!</v>
      </c>
      <c r="D13" s="57" t="e">
        <f t="shared" ref="D13:L13" si="5">(D12-C12)/D12</f>
        <v>#DIV/0!</v>
      </c>
      <c r="E13" s="57" t="e">
        <f t="shared" si="5"/>
        <v>#DIV/0!</v>
      </c>
      <c r="F13" s="57" t="e">
        <f t="shared" si="5"/>
        <v>#DIV/0!</v>
      </c>
      <c r="G13" s="57" t="e">
        <f t="shared" si="5"/>
        <v>#DIV/0!</v>
      </c>
      <c r="H13" s="57" t="e">
        <f t="shared" si="5"/>
        <v>#DIV/0!</v>
      </c>
      <c r="I13" s="57" t="e">
        <f t="shared" si="5"/>
        <v>#DIV/0!</v>
      </c>
      <c r="J13" s="57" t="e">
        <f t="shared" si="5"/>
        <v>#DIV/0!</v>
      </c>
      <c r="K13" s="57" t="e">
        <f t="shared" si="5"/>
        <v>#DIV/0!</v>
      </c>
      <c r="L13" s="57" t="e">
        <f t="shared" si="5"/>
        <v>#DIV/0!</v>
      </c>
      <c r="N13" s="13"/>
      <c r="O13" s="12"/>
      <c r="P13" s="5"/>
    </row>
    <row r="14" spans="1:16" ht="15" customHeight="1" x14ac:dyDescent="0.25">
      <c r="A14" s="11"/>
      <c r="B14" s="12"/>
      <c r="C14" s="13"/>
      <c r="D14" s="13"/>
      <c r="E14" s="13"/>
      <c r="F14" s="13"/>
      <c r="G14" s="13"/>
      <c r="H14" s="13"/>
      <c r="I14" s="13"/>
      <c r="J14" s="13"/>
      <c r="K14" s="13"/>
      <c r="L14" s="13"/>
      <c r="N14" s="13"/>
      <c r="O14" s="12"/>
      <c r="P14" s="5"/>
    </row>
    <row r="15" spans="1:16" ht="15" customHeight="1" x14ac:dyDescent="0.25">
      <c r="A15" s="7" t="s">
        <v>123</v>
      </c>
      <c r="B15" s="8">
        <f>B5+B10</f>
        <v>8</v>
      </c>
      <c r="C15" s="8">
        <f t="shared" ref="C15:L15" si="6">C5+C10</f>
        <v>10</v>
      </c>
      <c r="D15" s="8">
        <f t="shared" si="6"/>
        <v>12</v>
      </c>
      <c r="E15" s="8">
        <f t="shared" si="6"/>
        <v>14</v>
      </c>
      <c r="F15" s="8">
        <f t="shared" si="6"/>
        <v>16</v>
      </c>
      <c r="G15" s="8">
        <f t="shared" si="6"/>
        <v>17</v>
      </c>
      <c r="H15" s="8">
        <f t="shared" si="6"/>
        <v>17</v>
      </c>
      <c r="I15" s="8">
        <f t="shared" si="6"/>
        <v>17</v>
      </c>
      <c r="J15" s="8">
        <f t="shared" si="6"/>
        <v>17</v>
      </c>
      <c r="K15" s="8">
        <f t="shared" si="6"/>
        <v>17</v>
      </c>
      <c r="L15" s="8">
        <f t="shared" si="6"/>
        <v>17</v>
      </c>
      <c r="N15" s="8">
        <f>SUM(N5:N13)</f>
        <v>9</v>
      </c>
      <c r="O15" s="8">
        <f>SUM(O5:O13)</f>
        <v>17</v>
      </c>
    </row>
    <row r="17" spans="1:18" ht="15" customHeight="1" x14ac:dyDescent="0.25">
      <c r="A17" s="4" t="s">
        <v>124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</row>
    <row r="18" spans="1:18" ht="23.25" customHeight="1" x14ac:dyDescent="0.25">
      <c r="A18" s="10" t="s">
        <v>125</v>
      </c>
      <c r="B18" s="10" t="s">
        <v>126</v>
      </c>
      <c r="C18" s="10" t="s">
        <v>127</v>
      </c>
      <c r="D18" s="10" t="s">
        <v>128</v>
      </c>
      <c r="E18" s="10" t="s">
        <v>129</v>
      </c>
      <c r="F18" s="10" t="s">
        <v>130</v>
      </c>
      <c r="G18" s="10" t="s">
        <v>131</v>
      </c>
      <c r="H18" s="10" t="s">
        <v>132</v>
      </c>
      <c r="I18" s="10" t="s">
        <v>133</v>
      </c>
      <c r="J18" s="10" t="s">
        <v>134</v>
      </c>
      <c r="K18" s="10" t="s">
        <v>135</v>
      </c>
      <c r="L18" s="10" t="s">
        <v>136</v>
      </c>
      <c r="N18" s="10" t="s">
        <v>137</v>
      </c>
    </row>
    <row r="19" spans="1:18" ht="15" customHeight="1" x14ac:dyDescent="0.25">
      <c r="A19" s="2" t="s">
        <v>236</v>
      </c>
      <c r="B19" s="14">
        <f>B5*B7*12</f>
        <v>21900</v>
      </c>
      <c r="C19" s="14">
        <f t="shared" ref="C19:L19" si="7">B19*(1+$N19)</f>
        <v>22995</v>
      </c>
      <c r="D19" s="14">
        <f t="shared" si="7"/>
        <v>24144.75</v>
      </c>
      <c r="E19" s="14">
        <f t="shared" si="7"/>
        <v>25351.987499999999</v>
      </c>
      <c r="F19" s="14">
        <f t="shared" si="7"/>
        <v>26619.586875000001</v>
      </c>
      <c r="G19" s="14">
        <f t="shared" si="7"/>
        <v>27950.566218750002</v>
      </c>
      <c r="H19" s="14">
        <f t="shared" si="7"/>
        <v>29348.094529687503</v>
      </c>
      <c r="I19" s="14">
        <f t="shared" si="7"/>
        <v>30815.499256171879</v>
      </c>
      <c r="J19" s="14">
        <f t="shared" si="7"/>
        <v>32356.274218980474</v>
      </c>
      <c r="K19" s="14">
        <f t="shared" si="7"/>
        <v>33974.087929929497</v>
      </c>
      <c r="L19" s="14">
        <f t="shared" si="7"/>
        <v>35672.792326425973</v>
      </c>
      <c r="N19" s="15">
        <v>0.05</v>
      </c>
    </row>
    <row r="20" spans="1:18" ht="15" hidden="1" customHeight="1" x14ac:dyDescent="0.25">
      <c r="A20" s="2" t="s">
        <v>237</v>
      </c>
      <c r="B20" s="14">
        <f>B10*B12*12</f>
        <v>0</v>
      </c>
      <c r="C20" s="14">
        <f t="shared" ref="C20:L20" si="8">C10*C12*12</f>
        <v>0</v>
      </c>
      <c r="D20" s="14">
        <f t="shared" si="8"/>
        <v>0</v>
      </c>
      <c r="E20" s="14">
        <f t="shared" si="8"/>
        <v>0</v>
      </c>
      <c r="F20" s="14">
        <f t="shared" si="8"/>
        <v>0</v>
      </c>
      <c r="G20" s="14">
        <f t="shared" si="8"/>
        <v>0</v>
      </c>
      <c r="H20" s="14">
        <f t="shared" si="8"/>
        <v>0</v>
      </c>
      <c r="I20" s="14">
        <f t="shared" si="8"/>
        <v>0</v>
      </c>
      <c r="J20" s="14">
        <f t="shared" si="8"/>
        <v>0</v>
      </c>
      <c r="K20" s="14">
        <f t="shared" si="8"/>
        <v>0</v>
      </c>
      <c r="L20" s="14">
        <f t="shared" si="8"/>
        <v>0</v>
      </c>
      <c r="N20" s="15">
        <v>0.05</v>
      </c>
    </row>
    <row r="21" spans="1:18" ht="15" customHeight="1" x14ac:dyDescent="0.25">
      <c r="A21" s="2" t="s">
        <v>238</v>
      </c>
      <c r="B21" s="14">
        <f>RTO!F33*12</f>
        <v>88944</v>
      </c>
      <c r="C21" s="14">
        <f>RTO!G33</f>
        <v>88944</v>
      </c>
      <c r="D21" s="14">
        <f>RTO!H33</f>
        <v>88944</v>
      </c>
      <c r="E21" s="14">
        <f>RTO!I33</f>
        <v>88944</v>
      </c>
      <c r="F21" s="14">
        <f>RTO!J33</f>
        <v>88944</v>
      </c>
      <c r="G21" s="14">
        <f>RTO!K33</f>
        <v>88944</v>
      </c>
      <c r="H21" s="14">
        <f>RTO!L33</f>
        <v>88944</v>
      </c>
      <c r="I21" s="14">
        <f>RTO!M33</f>
        <v>88944</v>
      </c>
      <c r="J21" s="14">
        <f>RTO!N33</f>
        <v>88944</v>
      </c>
      <c r="K21" s="14">
        <f>RTO!O33</f>
        <v>88944</v>
      </c>
      <c r="L21" s="14">
        <f>RTO!P33</f>
        <v>88944</v>
      </c>
      <c r="N21" s="15">
        <v>0.05</v>
      </c>
    </row>
    <row r="22" spans="1:18" ht="15" customHeight="1" x14ac:dyDescent="0.25">
      <c r="A22" s="2" t="s">
        <v>138</v>
      </c>
      <c r="B22" s="14">
        <f>-((($O$5-B5)*B7)+(($O$10-B10)*B12))</f>
        <v>-2053.125</v>
      </c>
      <c r="C22" s="14">
        <f t="shared" ref="C22:L22" si="9">-((($O$5-C5)*C7)+(($O$10-C10)*C12))</f>
        <v>-1676.71875</v>
      </c>
      <c r="D22" s="14">
        <f t="shared" si="9"/>
        <v>-1257.5390625</v>
      </c>
      <c r="E22" s="14">
        <f t="shared" si="9"/>
        <v>-792.24960937500009</v>
      </c>
      <c r="F22" s="14">
        <f t="shared" si="9"/>
        <v>-277.28736328125001</v>
      </c>
      <c r="G22" s="14">
        <f t="shared" si="9"/>
        <v>0</v>
      </c>
      <c r="H22" s="14">
        <f t="shared" si="9"/>
        <v>0</v>
      </c>
      <c r="I22" s="14">
        <f t="shared" si="9"/>
        <v>0</v>
      </c>
      <c r="J22" s="14">
        <f t="shared" si="9"/>
        <v>0</v>
      </c>
      <c r="K22" s="14">
        <f t="shared" si="9"/>
        <v>0</v>
      </c>
      <c r="L22" s="14">
        <f t="shared" si="9"/>
        <v>0</v>
      </c>
      <c r="N22" s="3" t="s">
        <v>139</v>
      </c>
    </row>
    <row r="23" spans="1:18" ht="15" hidden="1" customHeight="1" x14ac:dyDescent="0.25">
      <c r="A23" s="2" t="s">
        <v>140</v>
      </c>
      <c r="B23" s="6">
        <v>0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</row>
    <row r="24" spans="1:18" ht="15" hidden="1" customHeight="1" x14ac:dyDescent="0.25">
      <c r="A24" s="2" t="s">
        <v>141</v>
      </c>
      <c r="B24" s="6">
        <v>0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</row>
    <row r="25" spans="1:18" ht="15" customHeight="1" x14ac:dyDescent="0.25">
      <c r="A25" s="7" t="s">
        <v>82</v>
      </c>
      <c r="B25" s="9">
        <f t="shared" ref="B25:L25" si="10">SUM(B19:B24)</f>
        <v>108790.875</v>
      </c>
      <c r="C25" s="9">
        <f t="shared" si="10"/>
        <v>110262.28125</v>
      </c>
      <c r="D25" s="9">
        <f t="shared" si="10"/>
        <v>111831.2109375</v>
      </c>
      <c r="E25" s="9">
        <f t="shared" si="10"/>
        <v>113503.73789062501</v>
      </c>
      <c r="F25" s="9">
        <f t="shared" si="10"/>
        <v>115286.29951171875</v>
      </c>
      <c r="G25" s="9">
        <f t="shared" si="10"/>
        <v>116894.56621875</v>
      </c>
      <c r="H25" s="9">
        <f t="shared" si="10"/>
        <v>118292.0945296875</v>
      </c>
      <c r="I25" s="9">
        <f t="shared" si="10"/>
        <v>119759.49925617188</v>
      </c>
      <c r="J25" s="9">
        <f t="shared" si="10"/>
        <v>121300.27421898047</v>
      </c>
      <c r="K25" s="9">
        <f t="shared" si="10"/>
        <v>122918.08792992949</v>
      </c>
      <c r="L25" s="9">
        <f t="shared" si="10"/>
        <v>124616.79232642597</v>
      </c>
    </row>
    <row r="27" spans="1:18" ht="15" customHeight="1" x14ac:dyDescent="0.25">
      <c r="A27" s="4" t="s">
        <v>144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</row>
    <row r="28" spans="1:18" ht="23.25" customHeight="1" x14ac:dyDescent="0.25">
      <c r="A28" s="10" t="s">
        <v>145</v>
      </c>
      <c r="B28" s="10" t="s">
        <v>69</v>
      </c>
      <c r="C28" s="10" t="s">
        <v>70</v>
      </c>
      <c r="D28" s="10" t="s">
        <v>71</v>
      </c>
      <c r="E28" s="10" t="s">
        <v>72</v>
      </c>
      <c r="F28" s="10" t="s">
        <v>73</v>
      </c>
      <c r="G28" s="10" t="s">
        <v>74</v>
      </c>
      <c r="H28" s="10" t="s">
        <v>75</v>
      </c>
      <c r="I28" s="10" t="s">
        <v>76</v>
      </c>
      <c r="J28" s="10" t="s">
        <v>77</v>
      </c>
      <c r="K28" s="10" t="s">
        <v>78</v>
      </c>
      <c r="L28" s="10" t="s">
        <v>79</v>
      </c>
      <c r="N28" s="10" t="s">
        <v>146</v>
      </c>
      <c r="O28" s="10" t="s">
        <v>147</v>
      </c>
      <c r="P28" s="10" t="s">
        <v>148</v>
      </c>
      <c r="Q28" s="10" t="s">
        <v>149</v>
      </c>
    </row>
    <row r="29" spans="1:18" ht="15" customHeight="1" x14ac:dyDescent="0.25">
      <c r="A29" s="2" t="s">
        <v>156</v>
      </c>
      <c r="B29" s="58">
        <v>4764</v>
      </c>
      <c r="C29" s="14">
        <f t="shared" ref="C29:L32" si="11">B29*(1+$N29)</f>
        <v>4906.92</v>
      </c>
      <c r="D29" s="14">
        <f t="shared" si="11"/>
        <v>5054.1275999999998</v>
      </c>
      <c r="E29" s="14">
        <f t="shared" si="11"/>
        <v>5205.7514279999996</v>
      </c>
      <c r="F29" s="14">
        <f t="shared" si="11"/>
        <v>5361.92397084</v>
      </c>
      <c r="G29" s="14">
        <f t="shared" si="11"/>
        <v>5522.7816899651998</v>
      </c>
      <c r="H29" s="14">
        <f t="shared" si="11"/>
        <v>5688.465140664156</v>
      </c>
      <c r="I29" s="14">
        <f t="shared" si="11"/>
        <v>5859.1190948840813</v>
      </c>
      <c r="J29" s="14">
        <f t="shared" si="11"/>
        <v>6034.8926677306035</v>
      </c>
      <c r="K29" s="14">
        <f t="shared" si="11"/>
        <v>6215.9394477625219</v>
      </c>
      <c r="L29" s="14">
        <f t="shared" si="11"/>
        <v>6402.4176311953979</v>
      </c>
      <c r="N29" s="15">
        <v>0.03</v>
      </c>
    </row>
    <row r="30" spans="1:18" ht="15" customHeight="1" x14ac:dyDescent="0.25">
      <c r="A30" s="2" t="s">
        <v>157</v>
      </c>
      <c r="B30" s="58">
        <v>4619</v>
      </c>
      <c r="C30" s="14">
        <f t="shared" si="11"/>
        <v>4757.57</v>
      </c>
      <c r="D30" s="14">
        <f t="shared" si="11"/>
        <v>4900.2970999999998</v>
      </c>
      <c r="E30" s="14">
        <f t="shared" si="11"/>
        <v>5047.3060130000003</v>
      </c>
      <c r="F30" s="14">
        <f t="shared" si="11"/>
        <v>5198.7251933900006</v>
      </c>
      <c r="G30" s="14">
        <f t="shared" si="11"/>
        <v>5354.6869491917005</v>
      </c>
      <c r="H30" s="14">
        <f t="shared" si="11"/>
        <v>5515.3275576674514</v>
      </c>
      <c r="I30" s="14">
        <f t="shared" si="11"/>
        <v>5680.7873843974749</v>
      </c>
      <c r="J30" s="14">
        <f t="shared" si="11"/>
        <v>5851.2110059293991</v>
      </c>
      <c r="K30" s="14">
        <f t="shared" si="11"/>
        <v>6026.7473361072816</v>
      </c>
      <c r="L30" s="14">
        <f t="shared" si="11"/>
        <v>6207.5497561905004</v>
      </c>
      <c r="N30" s="15">
        <v>0.03</v>
      </c>
    </row>
    <row r="31" spans="1:18" ht="15" customHeight="1" x14ac:dyDescent="0.25">
      <c r="A31" s="2" t="s">
        <v>261</v>
      </c>
      <c r="B31" s="58">
        <v>41200</v>
      </c>
      <c r="C31" s="14">
        <f t="shared" ref="C31" si="12">B31*(1+$N31)</f>
        <v>42436</v>
      </c>
      <c r="D31" s="14">
        <f t="shared" ref="D31" si="13">C31*(1+$N31)</f>
        <v>43709.08</v>
      </c>
      <c r="E31" s="14">
        <f t="shared" ref="E31" si="14">D31*(1+$N31)</f>
        <v>45020.352400000003</v>
      </c>
      <c r="F31" s="14">
        <f t="shared" ref="F31" si="15">E31*(1+$N31)</f>
        <v>46370.962972000001</v>
      </c>
      <c r="G31" s="14">
        <f t="shared" ref="G31" si="16">F31*(1+$N31)</f>
        <v>47762.091861159999</v>
      </c>
      <c r="H31" s="14">
        <f t="shared" ref="H31" si="17">G31*(1+$N31)</f>
        <v>49194.954616994801</v>
      </c>
      <c r="I31" s="14">
        <f t="shared" ref="I31" si="18">H31*(1+$N31)</f>
        <v>50670.803255504645</v>
      </c>
      <c r="J31" s="14">
        <f t="shared" ref="J31" si="19">I31*(1+$N31)</f>
        <v>52190.927353169784</v>
      </c>
      <c r="K31" s="14">
        <f t="shared" ref="K31" si="20">J31*(1+$N31)</f>
        <v>53756.655173764877</v>
      </c>
      <c r="L31" s="14">
        <f t="shared" ref="L31" si="21">K31*(1+$N31)</f>
        <v>55369.354828977826</v>
      </c>
      <c r="N31" s="15">
        <v>0.03</v>
      </c>
    </row>
    <row r="32" spans="1:18" ht="15" hidden="1" customHeight="1" x14ac:dyDescent="0.25">
      <c r="A32" s="2" t="s">
        <v>158</v>
      </c>
      <c r="B32" s="14">
        <v>0</v>
      </c>
      <c r="C32" s="14">
        <f t="shared" si="11"/>
        <v>0</v>
      </c>
      <c r="D32" s="14">
        <f t="shared" si="11"/>
        <v>0</v>
      </c>
      <c r="E32" s="14">
        <f t="shared" si="11"/>
        <v>0</v>
      </c>
      <c r="F32" s="14">
        <f t="shared" si="11"/>
        <v>0</v>
      </c>
      <c r="G32" s="14">
        <f t="shared" si="11"/>
        <v>0</v>
      </c>
      <c r="H32" s="14">
        <f t="shared" si="11"/>
        <v>0</v>
      </c>
      <c r="I32" s="14">
        <f t="shared" si="11"/>
        <v>0</v>
      </c>
      <c r="J32" s="14">
        <f t="shared" si="11"/>
        <v>0</v>
      </c>
      <c r="K32" s="14">
        <f t="shared" si="11"/>
        <v>0</v>
      </c>
      <c r="L32" s="14">
        <f t="shared" si="11"/>
        <v>0</v>
      </c>
      <c r="N32" s="15">
        <v>0.03</v>
      </c>
      <c r="O32" s="6">
        <v>15</v>
      </c>
      <c r="P32" s="13">
        <f>B15</f>
        <v>8</v>
      </c>
      <c r="Q32" s="14">
        <f>O32*P32*12</f>
        <v>1440</v>
      </c>
      <c r="R32" s="3" t="s">
        <v>152</v>
      </c>
    </row>
    <row r="33" spans="1:18" ht="15" hidden="1" customHeight="1" x14ac:dyDescent="0.25">
      <c r="A33" s="2" t="s">
        <v>222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N33" s="15">
        <v>0.03</v>
      </c>
      <c r="O33" s="6"/>
      <c r="P33" s="13"/>
      <c r="Q33" s="14"/>
      <c r="R33" s="3"/>
    </row>
    <row r="34" spans="1:18" ht="15" customHeight="1" x14ac:dyDescent="0.25">
      <c r="A34" s="7" t="s">
        <v>85</v>
      </c>
      <c r="B34" s="9">
        <f t="shared" ref="B34:L34" si="22">SUM(B29:B33)</f>
        <v>50583</v>
      </c>
      <c r="C34" s="9">
        <f t="shared" si="22"/>
        <v>52100.49</v>
      </c>
      <c r="D34" s="9">
        <f t="shared" si="22"/>
        <v>53663.504700000005</v>
      </c>
      <c r="E34" s="9">
        <f t="shared" si="22"/>
        <v>55273.409841000001</v>
      </c>
      <c r="F34" s="9">
        <f t="shared" si="22"/>
        <v>56931.612136230004</v>
      </c>
      <c r="G34" s="9">
        <f t="shared" si="22"/>
        <v>58639.560500316904</v>
      </c>
      <c r="H34" s="9">
        <f t="shared" si="22"/>
        <v>60398.747315326407</v>
      </c>
      <c r="I34" s="9">
        <f t="shared" si="22"/>
        <v>62210.7097347862</v>
      </c>
      <c r="J34" s="9">
        <f t="shared" si="22"/>
        <v>64077.031026829791</v>
      </c>
      <c r="K34" s="9">
        <f t="shared" si="22"/>
        <v>65999.341957634679</v>
      </c>
      <c r="L34" s="9">
        <f t="shared" si="22"/>
        <v>67979.322216363726</v>
      </c>
    </row>
    <row r="35" spans="1:18" ht="15" customHeight="1" x14ac:dyDescent="0.25">
      <c r="A35" s="16" t="s">
        <v>155</v>
      </c>
      <c r="B35" s="17">
        <f t="shared" ref="B35:L35" si="23">B25-B34</f>
        <v>58207.875</v>
      </c>
      <c r="C35" s="17">
        <f t="shared" si="23"/>
        <v>58161.791250000002</v>
      </c>
      <c r="D35" s="17">
        <f t="shared" si="23"/>
        <v>58167.706237499995</v>
      </c>
      <c r="E35" s="17">
        <f t="shared" si="23"/>
        <v>58230.328049625008</v>
      </c>
      <c r="F35" s="17">
        <f t="shared" si="23"/>
        <v>58354.687375488749</v>
      </c>
      <c r="G35" s="17">
        <f t="shared" si="23"/>
        <v>58255.005718433094</v>
      </c>
      <c r="H35" s="17">
        <f t="shared" si="23"/>
        <v>57893.347214361092</v>
      </c>
      <c r="I35" s="17">
        <f t="shared" si="23"/>
        <v>57548.789521385683</v>
      </c>
      <c r="J35" s="17">
        <f t="shared" si="23"/>
        <v>57223.24319215068</v>
      </c>
      <c r="K35" s="17">
        <f t="shared" si="23"/>
        <v>56918.745972294812</v>
      </c>
      <c r="L35" s="17">
        <f t="shared" si="23"/>
        <v>56637.470110062248</v>
      </c>
    </row>
    <row r="36" spans="1:18" x14ac:dyDescent="0.25">
      <c r="A36" s="40" t="s">
        <v>188</v>
      </c>
      <c r="B36" s="41">
        <f t="shared" ref="B36:L36" si="24">B34/B25</f>
        <v>0.46495627505523784</v>
      </c>
      <c r="C36" s="41">
        <f t="shared" si="24"/>
        <v>0.4725141672143664</v>
      </c>
      <c r="D36" s="41">
        <f t="shared" si="24"/>
        <v>0.4798616079547896</v>
      </c>
      <c r="E36" s="41">
        <f t="shared" si="24"/>
        <v>0.48697435756928831</v>
      </c>
      <c r="F36" s="41">
        <f t="shared" si="24"/>
        <v>0.49382808171792308</v>
      </c>
      <c r="G36" s="41">
        <f t="shared" si="24"/>
        <v>0.50164487877547781</v>
      </c>
      <c r="H36" s="41">
        <f t="shared" si="24"/>
        <v>0.51058988815324657</v>
      </c>
      <c r="I36" s="41">
        <f t="shared" si="24"/>
        <v>0.51946367612738775</v>
      </c>
      <c r="J36" s="41">
        <f t="shared" si="24"/>
        <v>0.52825132869158287</v>
      </c>
      <c r="K36" s="41">
        <f t="shared" si="24"/>
        <v>0.53693759046478307</v>
      </c>
      <c r="L36" s="41">
        <f t="shared" si="24"/>
        <v>0.54550691722425415</v>
      </c>
    </row>
  </sheetData>
  <pageMargins left="0.75" right="0.75" top="1" bottom="1" header="0.511811023622047" footer="0.511811023622047"/>
  <pageSetup paperSize="9" orientation="portrait" horizontalDpi="300" verticalDpi="300" r:id="rId1"/>
  <ignoredErrors>
    <ignoredError sqref="O5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8"/>
  <sheetViews>
    <sheetView showGridLines="0" topLeftCell="A10" zoomScaleNormal="100" workbookViewId="0">
      <selection activeCell="C21" sqref="C21"/>
    </sheetView>
  </sheetViews>
  <sheetFormatPr defaultColWidth="8.7109375" defaultRowHeight="15" x14ac:dyDescent="0.25"/>
  <cols>
    <col min="1" max="1" width="40" customWidth="1"/>
    <col min="2" max="2" width="16" customWidth="1"/>
    <col min="3" max="3" width="14" customWidth="1"/>
    <col min="4" max="4" width="17.42578125" bestFit="1" customWidth="1"/>
    <col min="5" max="12" width="14" customWidth="1"/>
    <col min="13" max="14" width="3" customWidth="1"/>
  </cols>
  <sheetData>
    <row r="1" spans="1:12" ht="18" customHeight="1" x14ac:dyDescent="0.3">
      <c r="A1" s="1" t="s">
        <v>56</v>
      </c>
    </row>
    <row r="2" spans="1:12" ht="15" customHeight="1" x14ac:dyDescent="0.25">
      <c r="A2" s="3" t="s">
        <v>57</v>
      </c>
    </row>
    <row r="4" spans="1:12" ht="15" customHeight="1" x14ac:dyDescent="0.25">
      <c r="A4" s="4" t="s">
        <v>58</v>
      </c>
      <c r="B4" s="4"/>
      <c r="D4" s="4" t="s">
        <v>59</v>
      </c>
      <c r="E4" s="4"/>
      <c r="F4" s="4"/>
    </row>
    <row r="5" spans="1:12" ht="15" customHeight="1" x14ac:dyDescent="0.25">
      <c r="A5" s="2" t="s">
        <v>60</v>
      </c>
      <c r="B5" s="18">
        <f>'BOV '!B7</f>
        <v>1735250.2640758294</v>
      </c>
      <c r="D5" s="2" t="s">
        <v>54</v>
      </c>
      <c r="E5" s="12">
        <f>'BOV '!B39</f>
        <v>10</v>
      </c>
    </row>
    <row r="6" spans="1:12" ht="15" customHeight="1" x14ac:dyDescent="0.25">
      <c r="A6" s="2" t="s">
        <v>61</v>
      </c>
      <c r="B6" s="19">
        <f>'BOV '!B20</f>
        <v>0.7</v>
      </c>
      <c r="D6" s="2" t="s">
        <v>62</v>
      </c>
      <c r="E6" s="14">
        <f>B5</f>
        <v>1735250.2640758294</v>
      </c>
    </row>
    <row r="7" spans="1:12" ht="15" customHeight="1" x14ac:dyDescent="0.25">
      <c r="A7" s="2" t="s">
        <v>63</v>
      </c>
      <c r="B7" s="20">
        <f>'BOV '!B22</f>
        <v>7.0230000000000001E-2</v>
      </c>
      <c r="D7" s="2" t="s">
        <v>64</v>
      </c>
      <c r="E7" s="14">
        <f>E6*B6</f>
        <v>1214675.1848530804</v>
      </c>
    </row>
    <row r="8" spans="1:12" ht="15" customHeight="1" x14ac:dyDescent="0.25">
      <c r="A8" s="2" t="s">
        <v>65</v>
      </c>
      <c r="B8" s="21">
        <f>'BOV '!B36</f>
        <v>30</v>
      </c>
      <c r="D8" s="2" t="s">
        <v>45</v>
      </c>
      <c r="E8" s="14">
        <f>E6-E7</f>
        <v>520575.07922274899</v>
      </c>
    </row>
    <row r="9" spans="1:12" ht="15" customHeight="1" x14ac:dyDescent="0.25">
      <c r="A9" s="2" t="s">
        <v>66</v>
      </c>
      <c r="B9" s="15">
        <v>0.06</v>
      </c>
    </row>
    <row r="10" spans="1:12" ht="15" customHeight="1" x14ac:dyDescent="0.25">
      <c r="A10" s="2" t="s">
        <v>67</v>
      </c>
      <c r="B10" s="15">
        <v>0.02</v>
      </c>
    </row>
    <row r="12" spans="1:12" ht="15" customHeight="1" x14ac:dyDescent="0.25">
      <c r="A12" s="10" t="s">
        <v>68</v>
      </c>
      <c r="B12" s="10" t="s">
        <v>69</v>
      </c>
      <c r="C12" s="10" t="s">
        <v>70</v>
      </c>
      <c r="D12" s="10" t="s">
        <v>71</v>
      </c>
      <c r="E12" s="10" t="s">
        <v>72</v>
      </c>
      <c r="F12" s="10" t="s">
        <v>73</v>
      </c>
      <c r="G12" s="10" t="s">
        <v>74</v>
      </c>
      <c r="H12" s="10" t="s">
        <v>75</v>
      </c>
      <c r="I12" s="10" t="s">
        <v>76</v>
      </c>
      <c r="J12" s="10" t="s">
        <v>77</v>
      </c>
      <c r="K12" s="10" t="s">
        <v>78</v>
      </c>
      <c r="L12" s="10" t="s">
        <v>79</v>
      </c>
    </row>
    <row r="13" spans="1:12" ht="15" customHeight="1" x14ac:dyDescent="0.25">
      <c r="A13" s="2" t="s">
        <v>80</v>
      </c>
      <c r="B13" s="22">
        <f>Land!B44</f>
        <v>158866.5</v>
      </c>
      <c r="C13" s="22">
        <f>Land!C44</f>
        <v>167102.67499999999</v>
      </c>
      <c r="D13" s="22">
        <f>Land!D44</f>
        <v>175770.76324999999</v>
      </c>
      <c r="E13" s="22">
        <f>Land!E44</f>
        <v>184893.52949749999</v>
      </c>
      <c r="F13" s="22">
        <f>Land!F44</f>
        <v>194494.94009742502</v>
      </c>
      <c r="G13" s="22">
        <f>Land!G44</f>
        <v>204600.22640847275</v>
      </c>
      <c r="H13" s="22">
        <f>Land!H44</f>
        <v>215235.95152950197</v>
      </c>
      <c r="I13" s="22">
        <f>Land!I44</f>
        <v>226430.08055160672</v>
      </c>
      <c r="J13" s="22">
        <f>Land!J44</f>
        <v>238212.05451074181</v>
      </c>
      <c r="K13" s="22">
        <f>Land!K44</f>
        <v>250612.86823546441</v>
      </c>
      <c r="L13" s="22">
        <f>Land!L44</f>
        <v>263665.15229456691</v>
      </c>
    </row>
    <row r="14" spans="1:12" ht="15" customHeight="1" x14ac:dyDescent="0.25">
      <c r="A14" s="2" t="s">
        <v>81</v>
      </c>
      <c r="B14" s="22">
        <f>'POH '!B25</f>
        <v>108790.875</v>
      </c>
      <c r="C14" s="22">
        <f>'POH '!C25</f>
        <v>110262.28125</v>
      </c>
      <c r="D14" s="22">
        <f>'POH '!D25</f>
        <v>111831.2109375</v>
      </c>
      <c r="E14" s="22">
        <f>'POH '!E25</f>
        <v>113503.73789062501</v>
      </c>
      <c r="F14" s="22">
        <f>'POH '!F25</f>
        <v>115286.29951171875</v>
      </c>
      <c r="G14" s="22">
        <f>'POH '!G25</f>
        <v>116894.56621875</v>
      </c>
      <c r="H14" s="22">
        <f>'POH '!H25</f>
        <v>118292.0945296875</v>
      </c>
      <c r="I14" s="22">
        <f>'POH '!I25</f>
        <v>119759.49925617188</v>
      </c>
      <c r="J14" s="22">
        <f>'POH '!J25</f>
        <v>121300.27421898047</v>
      </c>
      <c r="K14" s="22">
        <f>'POH '!K25</f>
        <v>122918.08792992949</v>
      </c>
      <c r="L14" s="22">
        <f>'POH '!L25</f>
        <v>124616.79232642597</v>
      </c>
    </row>
    <row r="15" spans="1:12" ht="15" customHeight="1" x14ac:dyDescent="0.25">
      <c r="A15" s="7" t="s">
        <v>82</v>
      </c>
      <c r="B15" s="9">
        <f t="shared" ref="B15:L15" si="0">B13+B14</f>
        <v>267657.375</v>
      </c>
      <c r="C15" s="9">
        <f t="shared" si="0"/>
        <v>277364.95624999999</v>
      </c>
      <c r="D15" s="9">
        <f t="shared" si="0"/>
        <v>287601.97418749996</v>
      </c>
      <c r="E15" s="9">
        <f t="shared" si="0"/>
        <v>298397.26738812501</v>
      </c>
      <c r="F15" s="9">
        <f t="shared" si="0"/>
        <v>309781.23960914375</v>
      </c>
      <c r="G15" s="9">
        <f t="shared" si="0"/>
        <v>321494.79262722272</v>
      </c>
      <c r="H15" s="9">
        <f t="shared" si="0"/>
        <v>333528.04605918948</v>
      </c>
      <c r="I15" s="9">
        <f t="shared" si="0"/>
        <v>346189.57980777859</v>
      </c>
      <c r="J15" s="9">
        <f t="shared" si="0"/>
        <v>359512.3287297223</v>
      </c>
      <c r="K15" s="9">
        <f t="shared" si="0"/>
        <v>373530.95616539393</v>
      </c>
      <c r="L15" s="9">
        <f t="shared" si="0"/>
        <v>388281.94462099287</v>
      </c>
    </row>
    <row r="16" spans="1:12" ht="15" customHeight="1" x14ac:dyDescent="0.25">
      <c r="A16" s="2" t="s">
        <v>83</v>
      </c>
      <c r="B16" s="22">
        <f>Land!B63</f>
        <v>48162</v>
      </c>
      <c r="C16" s="22">
        <f>Land!C63</f>
        <v>43945.753749999996</v>
      </c>
      <c r="D16" s="22">
        <f>Land!D63</f>
        <v>45446.876762500004</v>
      </c>
      <c r="E16" s="22">
        <f>Land!E63</f>
        <v>47002.765232875005</v>
      </c>
      <c r="F16" s="22">
        <f>Land!F63</f>
        <v>48615.578425611253</v>
      </c>
      <c r="G16" s="22">
        <f>Land!G63</f>
        <v>50287.567683785841</v>
      </c>
      <c r="H16" s="22">
        <f>Land!H63</f>
        <v>52021.080630738172</v>
      </c>
      <c r="I16" s="22">
        <f>Land!I63</f>
        <v>53818.565573471293</v>
      </c>
      <c r="J16" s="22">
        <f>Land!J63</f>
        <v>55682.576117804791</v>
      </c>
      <c r="K16" s="22">
        <f>Land!K63</f>
        <v>57615.776005808948</v>
      </c>
      <c r="L16" s="22">
        <f>Land!L63</f>
        <v>59620.944186585155</v>
      </c>
    </row>
    <row r="17" spans="1:12" ht="15" customHeight="1" x14ac:dyDescent="0.25">
      <c r="A17" s="2" t="s">
        <v>84</v>
      </c>
      <c r="B17" s="22">
        <f>'POH '!B34</f>
        <v>50583</v>
      </c>
      <c r="C17" s="22">
        <f>'POH '!C34</f>
        <v>52100.49</v>
      </c>
      <c r="D17" s="22">
        <f>'POH '!D34</f>
        <v>53663.504700000005</v>
      </c>
      <c r="E17" s="22">
        <f>'POH '!E34</f>
        <v>55273.409841000001</v>
      </c>
      <c r="F17" s="22">
        <f>'POH '!F34</f>
        <v>56931.612136230004</v>
      </c>
      <c r="G17" s="22">
        <f>'POH '!G34</f>
        <v>58639.560500316904</v>
      </c>
      <c r="H17" s="22">
        <f>'POH '!H34</f>
        <v>60398.747315326407</v>
      </c>
      <c r="I17" s="22">
        <f>'POH '!I34</f>
        <v>62210.7097347862</v>
      </c>
      <c r="J17" s="22">
        <f>'POH '!J34</f>
        <v>64077.031026829791</v>
      </c>
      <c r="K17" s="22">
        <f>'POH '!K34</f>
        <v>65999.341957634679</v>
      </c>
      <c r="L17" s="22">
        <f>'POH '!L34</f>
        <v>67979.322216363726</v>
      </c>
    </row>
    <row r="18" spans="1:12" ht="15" customHeight="1" x14ac:dyDescent="0.25">
      <c r="A18" s="7" t="s">
        <v>85</v>
      </c>
      <c r="B18" s="9">
        <f t="shared" ref="B18:L18" si="1">B16+B17</f>
        <v>98745</v>
      </c>
      <c r="C18" s="9">
        <f t="shared" si="1"/>
        <v>96046.243749999994</v>
      </c>
      <c r="D18" s="9">
        <f t="shared" si="1"/>
        <v>99110.381462500009</v>
      </c>
      <c r="E18" s="9">
        <f t="shared" si="1"/>
        <v>102276.175073875</v>
      </c>
      <c r="F18" s="9">
        <f t="shared" si="1"/>
        <v>105547.19056184126</v>
      </c>
      <c r="G18" s="9">
        <f t="shared" si="1"/>
        <v>108927.12818410274</v>
      </c>
      <c r="H18" s="9">
        <f t="shared" si="1"/>
        <v>112419.82794606459</v>
      </c>
      <c r="I18" s="9">
        <f t="shared" si="1"/>
        <v>116029.27530825749</v>
      </c>
      <c r="J18" s="9">
        <f t="shared" si="1"/>
        <v>119759.60714463459</v>
      </c>
      <c r="K18" s="9">
        <f t="shared" si="1"/>
        <v>123615.11796344363</v>
      </c>
      <c r="L18" s="9">
        <f t="shared" si="1"/>
        <v>127600.26640294888</v>
      </c>
    </row>
    <row r="19" spans="1:12" ht="15" customHeight="1" x14ac:dyDescent="0.25">
      <c r="A19" s="16" t="s">
        <v>86</v>
      </c>
      <c r="B19" s="17">
        <f t="shared" ref="B19:L19" si="2">B15-B18</f>
        <v>168912.375</v>
      </c>
      <c r="C19" s="17">
        <f t="shared" si="2"/>
        <v>181318.71249999999</v>
      </c>
      <c r="D19" s="17">
        <f t="shared" si="2"/>
        <v>188491.59272499994</v>
      </c>
      <c r="E19" s="17">
        <f t="shared" si="2"/>
        <v>196121.09231425001</v>
      </c>
      <c r="F19" s="17">
        <f t="shared" si="2"/>
        <v>204234.04904730251</v>
      </c>
      <c r="G19" s="17">
        <f t="shared" si="2"/>
        <v>212567.66444311998</v>
      </c>
      <c r="H19" s="17">
        <f t="shared" si="2"/>
        <v>221108.21811312489</v>
      </c>
      <c r="I19" s="17">
        <f t="shared" si="2"/>
        <v>230160.30449952109</v>
      </c>
      <c r="J19" s="17">
        <f t="shared" si="2"/>
        <v>239752.72158508771</v>
      </c>
      <c r="K19" s="17">
        <f t="shared" si="2"/>
        <v>249915.8382019503</v>
      </c>
      <c r="L19" s="17">
        <f t="shared" si="2"/>
        <v>260681.67821804399</v>
      </c>
    </row>
    <row r="20" spans="1:12" ht="15" customHeight="1" x14ac:dyDescent="0.25">
      <c r="A20" s="4" t="s">
        <v>87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 spans="1:12" ht="15" customHeight="1" x14ac:dyDescent="0.25">
      <c r="A21" s="2" t="s">
        <v>88</v>
      </c>
      <c r="C21" s="22">
        <f>'Loan Amortization '!B11</f>
        <v>98112.56485409844</v>
      </c>
      <c r="D21" s="22">
        <f>'Loan Amortization '!C11</f>
        <v>98112.56485409844</v>
      </c>
      <c r="E21" s="22">
        <f>'Loan Amortization '!D11</f>
        <v>98112.56485409844</v>
      </c>
      <c r="F21" s="22">
        <f>'Loan Amortization '!E11</f>
        <v>98112.56485409844</v>
      </c>
      <c r="G21" s="22">
        <f>'Loan Amortization '!F11</f>
        <v>98112.56485409844</v>
      </c>
      <c r="H21" s="22">
        <f>'Loan Amortization '!G11</f>
        <v>98112.56485409844</v>
      </c>
      <c r="I21" s="22">
        <f>'Loan Amortization '!H11</f>
        <v>98112.56485409844</v>
      </c>
      <c r="J21" s="22">
        <f>'Loan Amortization '!I11</f>
        <v>98112.56485409844</v>
      </c>
      <c r="K21" s="22">
        <f>'Loan Amortization '!J11</f>
        <v>98112.56485409844</v>
      </c>
      <c r="L21" s="22">
        <f>'Loan Amortization '!K11</f>
        <v>98112.56485409844</v>
      </c>
    </row>
    <row r="22" spans="1:12" ht="15" customHeight="1" x14ac:dyDescent="0.25">
      <c r="A22" s="2" t="s">
        <v>89</v>
      </c>
      <c r="C22" s="22">
        <f>'Loan Amortization '!B12</f>
        <v>85306.638232231839</v>
      </c>
      <c r="D22" s="22">
        <f>'Loan Amortization '!C12</f>
        <v>84407.278005578148</v>
      </c>
      <c r="E22" s="22">
        <f>'Loan Amortization '!D12</f>
        <v>83444.755710206562</v>
      </c>
      <c r="F22" s="22">
        <f>'Loan Amortization '!E12</f>
        <v>82414.635474031034</v>
      </c>
      <c r="G22" s="22">
        <f>'Loan Amortization '!F12</f>
        <v>81312.169893668906</v>
      </c>
      <c r="H22" s="22">
        <f>'Loan Amortization '!G12</f>
        <v>80132.278155597945</v>
      </c>
      <c r="I22" s="22">
        <f>'Loan Amortization '!H12</f>
        <v>78869.522620762262</v>
      </c>
      <c r="J22" s="22">
        <f>'Loan Amortization '!I12</f>
        <v>77518.083764715047</v>
      </c>
      <c r="K22" s="22">
        <f>'Loan Amortization '!J12</f>
        <v>76071.733357807665</v>
      </c>
      <c r="L22" s="22">
        <f>'Loan Amortization '!K12</f>
        <v>74523.805761823154</v>
      </c>
    </row>
    <row r="23" spans="1:12" ht="15" customHeight="1" x14ac:dyDescent="0.25">
      <c r="A23" s="2" t="s">
        <v>90</v>
      </c>
      <c r="C23" s="22">
        <f>'Loan Amortization '!B13</f>
        <v>12805.926621866602</v>
      </c>
      <c r="D23" s="22">
        <f>'Loan Amortization '!C13</f>
        <v>13705.286848520293</v>
      </c>
      <c r="E23" s="22">
        <f>'Loan Amortization '!D13</f>
        <v>14667.809143891878</v>
      </c>
      <c r="F23" s="22">
        <f>'Loan Amortization '!E13</f>
        <v>15697.929380067406</v>
      </c>
      <c r="G23" s="22">
        <f>'Loan Amortization '!F13</f>
        <v>16800.394960429534</v>
      </c>
      <c r="H23" s="22">
        <f>'Loan Amortization '!G13</f>
        <v>17980.286698500495</v>
      </c>
      <c r="I23" s="22">
        <f>'Loan Amortization '!H13</f>
        <v>19243.042233336178</v>
      </c>
      <c r="J23" s="22">
        <f>'Loan Amortization '!I13</f>
        <v>20594.481089383393</v>
      </c>
      <c r="K23" s="22">
        <f>'Loan Amortization '!J13</f>
        <v>22040.831496290775</v>
      </c>
      <c r="L23" s="22">
        <f>'Loan Amortization '!K13</f>
        <v>23588.759092275286</v>
      </c>
    </row>
    <row r="24" spans="1:12" ht="15" customHeight="1" x14ac:dyDescent="0.25">
      <c r="A24" s="7" t="s">
        <v>91</v>
      </c>
      <c r="B24" s="7"/>
      <c r="C24" s="9">
        <f t="shared" ref="C24:L24" si="3">C19-C21</f>
        <v>83206.147645901554</v>
      </c>
      <c r="D24" s="9">
        <f>D19-D21</f>
        <v>90379.027870901496</v>
      </c>
      <c r="E24" s="9">
        <f t="shared" si="3"/>
        <v>98008.52746015157</v>
      </c>
      <c r="F24" s="9">
        <f t="shared" si="3"/>
        <v>106121.48419320407</v>
      </c>
      <c r="G24" s="9">
        <f t="shared" si="3"/>
        <v>114455.09958902154</v>
      </c>
      <c r="H24" s="9">
        <f t="shared" si="3"/>
        <v>122995.65325902645</v>
      </c>
      <c r="I24" s="9">
        <f t="shared" si="3"/>
        <v>132047.73964542267</v>
      </c>
      <c r="J24" s="9">
        <f t="shared" si="3"/>
        <v>141640.15673098929</v>
      </c>
      <c r="K24" s="9">
        <f t="shared" si="3"/>
        <v>151803.27334785188</v>
      </c>
      <c r="L24" s="9">
        <f t="shared" si="3"/>
        <v>162569.11336394557</v>
      </c>
    </row>
    <row r="25" spans="1:12" ht="15" customHeight="1" x14ac:dyDescent="0.25">
      <c r="A25" s="2" t="s">
        <v>92</v>
      </c>
      <c r="C25" s="23">
        <f t="shared" ref="C25:L25" si="4">IF(C21=0,0,C19/C21)</f>
        <v>1.8480682139911033</v>
      </c>
      <c r="D25" s="23">
        <f t="shared" si="4"/>
        <v>1.9211768951846548</v>
      </c>
      <c r="E25" s="23">
        <f t="shared" si="4"/>
        <v>1.9989396119232885</v>
      </c>
      <c r="F25" s="23">
        <f t="shared" si="4"/>
        <v>2.0816299049058147</v>
      </c>
      <c r="G25" s="23">
        <f t="shared" si="4"/>
        <v>2.1665692336065803</v>
      </c>
      <c r="H25" s="23">
        <f t="shared" si="4"/>
        <v>2.2536177546874985</v>
      </c>
      <c r="I25" s="23">
        <f t="shared" si="4"/>
        <v>2.3458800087612492</v>
      </c>
      <c r="J25" s="23">
        <f t="shared" si="4"/>
        <v>2.4436495156519453</v>
      </c>
      <c r="K25" s="23">
        <f t="shared" si="4"/>
        <v>2.547235805868453</v>
      </c>
      <c r="L25" s="23">
        <f t="shared" si="4"/>
        <v>2.6569652786643521</v>
      </c>
    </row>
    <row r="26" spans="1:12" ht="15" customHeight="1" x14ac:dyDescent="0.25">
      <c r="A26" s="85" t="s">
        <v>188</v>
      </c>
      <c r="B26" s="86">
        <f>B18/B15</f>
        <v>0.36892314287995986</v>
      </c>
      <c r="C26" s="86">
        <f t="shared" ref="C26:L26" si="5">C18/C15</f>
        <v>0.34628110576243715</v>
      </c>
      <c r="D26" s="86">
        <f t="shared" si="5"/>
        <v>0.34460953108022041</v>
      </c>
      <c r="E26" s="86">
        <f t="shared" si="5"/>
        <v>0.34275171474960087</v>
      </c>
      <c r="F26" s="86">
        <f t="shared" si="5"/>
        <v>0.34071524374752948</v>
      </c>
      <c r="G26" s="86">
        <f t="shared" si="5"/>
        <v>0.33881459570141503</v>
      </c>
      <c r="H26" s="86">
        <f t="shared" si="5"/>
        <v>0.3370625927095619</v>
      </c>
      <c r="I26" s="86">
        <f t="shared" si="5"/>
        <v>0.33516108535872924</v>
      </c>
      <c r="J26" s="86">
        <f t="shared" si="5"/>
        <v>0.33311682958908662</v>
      </c>
      <c r="K26" s="86">
        <f t="shared" si="5"/>
        <v>0.33093674278687812</v>
      </c>
      <c r="L26" s="86">
        <f t="shared" si="5"/>
        <v>0.32862786480453315</v>
      </c>
    </row>
    <row r="28" spans="1:12" ht="15" customHeight="1" x14ac:dyDescent="0.25">
      <c r="A28" s="4" t="s">
        <v>93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</row>
    <row r="29" spans="1:12" ht="15" customHeight="1" x14ac:dyDescent="0.25">
      <c r="A29" s="2" t="s">
        <v>54</v>
      </c>
      <c r="B29" s="42">
        <f>E5</f>
        <v>10</v>
      </c>
    </row>
    <row r="30" spans="1:12" ht="15" customHeight="1" x14ac:dyDescent="0.25">
      <c r="A30" s="2" t="s">
        <v>94</v>
      </c>
      <c r="B30" s="43">
        <f>INDEX(C19:L19,B29)</f>
        <v>260681.67821804399</v>
      </c>
    </row>
    <row r="31" spans="1:12" ht="15" customHeight="1" x14ac:dyDescent="0.25">
      <c r="A31" s="2" t="s">
        <v>95</v>
      </c>
      <c r="B31" s="43">
        <f>B30/B9</f>
        <v>4344694.6369674001</v>
      </c>
    </row>
    <row r="32" spans="1:12" ht="15" customHeight="1" x14ac:dyDescent="0.25">
      <c r="A32" s="2" t="s">
        <v>96</v>
      </c>
      <c r="B32" s="43">
        <f>B31*B10</f>
        <v>86893.892739347997</v>
      </c>
    </row>
    <row r="33" spans="1:12" ht="15" customHeight="1" x14ac:dyDescent="0.25">
      <c r="A33" s="2" t="s">
        <v>97</v>
      </c>
      <c r="B33" s="44">
        <f>INDEX('Loan Amortization '!B14:K14,B29)</f>
        <v>1037550.4372885185</v>
      </c>
    </row>
    <row r="34" spans="1:12" ht="15" customHeight="1" x14ac:dyDescent="0.25">
      <c r="A34" s="7" t="s">
        <v>98</v>
      </c>
      <c r="B34" s="45">
        <f>B31-B32-B33</f>
        <v>3220250.3069395334</v>
      </c>
    </row>
    <row r="35" spans="1:12" ht="15" customHeight="1" x14ac:dyDescent="0.25">
      <c r="A35" s="2" t="s">
        <v>99</v>
      </c>
      <c r="B35" s="43">
        <f>B31-E6</f>
        <v>2609444.3728915704</v>
      </c>
    </row>
    <row r="37" spans="1:12" ht="15" customHeight="1" x14ac:dyDescent="0.25">
      <c r="A37" s="4" t="s">
        <v>100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</row>
    <row r="38" spans="1:12" ht="15" customHeight="1" x14ac:dyDescent="0.25">
      <c r="A38" s="10" t="s">
        <v>101</v>
      </c>
      <c r="B38" s="24">
        <v>0</v>
      </c>
      <c r="C38" s="24">
        <v>1</v>
      </c>
      <c r="D38" s="24">
        <v>2</v>
      </c>
      <c r="E38" s="24">
        <v>3</v>
      </c>
      <c r="F38" s="24">
        <v>4</v>
      </c>
      <c r="G38" s="24">
        <v>5</v>
      </c>
      <c r="H38" s="24">
        <v>6</v>
      </c>
      <c r="I38" s="24">
        <v>7</v>
      </c>
      <c r="J38" s="24">
        <v>8</v>
      </c>
      <c r="K38" s="24">
        <v>9</v>
      </c>
      <c r="L38" s="24">
        <v>10</v>
      </c>
    </row>
    <row r="39" spans="1:12" ht="15" customHeight="1" x14ac:dyDescent="0.25">
      <c r="A39" s="2" t="s">
        <v>102</v>
      </c>
      <c r="B39" s="14">
        <f>-E8</f>
        <v>-520575.07922274899</v>
      </c>
      <c r="C39" s="14">
        <f t="shared" ref="C39:L39" si="6">IF(C$38&lt;=$B$29,C24,0)+IF(C$38=$B$29,$B$34,0)</f>
        <v>83206.147645901554</v>
      </c>
      <c r="D39" s="14">
        <f t="shared" si="6"/>
        <v>90379.027870901496</v>
      </c>
      <c r="E39" s="14">
        <f t="shared" si="6"/>
        <v>98008.52746015157</v>
      </c>
      <c r="F39" s="14">
        <f t="shared" si="6"/>
        <v>106121.48419320407</v>
      </c>
      <c r="G39" s="14">
        <f t="shared" si="6"/>
        <v>114455.09958902154</v>
      </c>
      <c r="H39" s="14">
        <f t="shared" si="6"/>
        <v>122995.65325902645</v>
      </c>
      <c r="I39" s="14">
        <f t="shared" si="6"/>
        <v>132047.73964542267</v>
      </c>
      <c r="J39" s="14">
        <f t="shared" si="6"/>
        <v>141640.15673098929</v>
      </c>
      <c r="K39" s="14">
        <f t="shared" si="6"/>
        <v>151803.27334785188</v>
      </c>
      <c r="L39" s="14">
        <f t="shared" si="6"/>
        <v>3382819.4203034788</v>
      </c>
    </row>
    <row r="40" spans="1:12" ht="15" customHeight="1" x14ac:dyDescent="0.25">
      <c r="A40" s="2" t="s">
        <v>103</v>
      </c>
      <c r="B40" s="14">
        <f>-E6</f>
        <v>-1735250.2640758294</v>
      </c>
      <c r="C40" s="14">
        <f t="shared" ref="C40:L40" si="7">IF(C$38&lt;=$B$29,C19,0)+IF(C$38=$B$29,$B$31-$B$32,0)</f>
        <v>181318.71249999999</v>
      </c>
      <c r="D40" s="14">
        <f t="shared" si="7"/>
        <v>188491.59272499994</v>
      </c>
      <c r="E40" s="14">
        <f t="shared" si="7"/>
        <v>196121.09231425001</v>
      </c>
      <c r="F40" s="14">
        <f t="shared" si="7"/>
        <v>204234.04904730251</v>
      </c>
      <c r="G40" s="14">
        <f t="shared" si="7"/>
        <v>212567.66444311998</v>
      </c>
      <c r="H40" s="14">
        <f t="shared" si="7"/>
        <v>221108.21811312489</v>
      </c>
      <c r="I40" s="14">
        <f t="shared" si="7"/>
        <v>230160.30449952109</v>
      </c>
      <c r="J40" s="14">
        <f t="shared" si="7"/>
        <v>239752.72158508771</v>
      </c>
      <c r="K40" s="14">
        <f t="shared" si="7"/>
        <v>249915.8382019503</v>
      </c>
      <c r="L40" s="14">
        <f t="shared" si="7"/>
        <v>4518482.4224460963</v>
      </c>
    </row>
    <row r="42" spans="1:12" ht="15" customHeight="1" x14ac:dyDescent="0.25">
      <c r="A42" s="11" t="s">
        <v>104</v>
      </c>
      <c r="B42" s="25">
        <f>IFERROR(IRR(B39:L39),IFERROR(IRR(B39:L39,-0.5),"n/a"))</f>
        <v>0.31239316677485585</v>
      </c>
    </row>
    <row r="43" spans="1:12" ht="15" customHeight="1" x14ac:dyDescent="0.25">
      <c r="A43" s="11" t="s">
        <v>29</v>
      </c>
      <c r="B43" s="25">
        <f>IFERROR(IRR(B40:L40),IFERROR(IRR(B40:L40,-0.5),"n/a"))</f>
        <v>0.18086651272179655</v>
      </c>
    </row>
    <row r="44" spans="1:12" ht="15" customHeight="1" x14ac:dyDescent="0.25">
      <c r="A44" s="11" t="s">
        <v>34</v>
      </c>
      <c r="B44" s="26">
        <f>SUM(C39:L39)/E8</f>
        <v>8.4972883001823192</v>
      </c>
    </row>
    <row r="45" spans="1:12" ht="15" customHeight="1" x14ac:dyDescent="0.25">
      <c r="A45" s="11" t="s">
        <v>30</v>
      </c>
      <c r="B45" s="25">
        <f>C24/E8</f>
        <v>0.15983505735644032</v>
      </c>
    </row>
    <row r="46" spans="1:12" ht="15" customHeight="1" x14ac:dyDescent="0.25">
      <c r="A46" s="11" t="s">
        <v>105</v>
      </c>
      <c r="B46" s="25">
        <f>SUMPRODUCT((C38:L38&lt;=B29)*C24:L24)/B29/E8</f>
        <v>0.23113404216408281</v>
      </c>
    </row>
    <row r="47" spans="1:12" ht="15" customHeight="1" x14ac:dyDescent="0.25">
      <c r="A47" s="11" t="s">
        <v>32</v>
      </c>
      <c r="B47" s="26">
        <f>C25</f>
        <v>1.8480682139911033</v>
      </c>
    </row>
    <row r="48" spans="1:12" ht="15" customHeight="1" x14ac:dyDescent="0.25">
      <c r="A48" s="11" t="s">
        <v>106</v>
      </c>
      <c r="B48" s="25">
        <f>C19/E6</f>
        <v>0.10449139023561414</v>
      </c>
    </row>
  </sheetData>
  <pageMargins left="0.75" right="0.75" top="1" bottom="1" header="0.511811023622047" footer="0.511811023622047"/>
  <pageSetup paperSize="9" orientation="portrait" horizontalDpi="300" verticalDpi="300" r:id="rId1"/>
  <ignoredErrors>
    <ignoredError sqref="B46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41"/>
  <sheetViews>
    <sheetView showGridLines="0" topLeftCell="C17" zoomScaleNormal="100" workbookViewId="0">
      <selection activeCell="N18" sqref="N18:P28"/>
    </sheetView>
  </sheetViews>
  <sheetFormatPr defaultColWidth="8.7109375" defaultRowHeight="15" x14ac:dyDescent="0.25"/>
  <cols>
    <col min="1" max="1" width="36" customWidth="1"/>
    <col min="2" max="12" width="14" customWidth="1"/>
    <col min="16" max="16" width="9.85546875" bestFit="1" customWidth="1"/>
  </cols>
  <sheetData>
    <row r="1" spans="1:11" ht="18" customHeight="1" x14ac:dyDescent="0.3">
      <c r="A1" s="1" t="s">
        <v>159</v>
      </c>
    </row>
    <row r="2" spans="1:11" ht="15" customHeight="1" x14ac:dyDescent="0.25">
      <c r="A2" s="3" t="s">
        <v>160</v>
      </c>
    </row>
    <row r="4" spans="1:11" ht="15" customHeight="1" x14ac:dyDescent="0.25">
      <c r="A4" s="10" t="s">
        <v>161</v>
      </c>
      <c r="B4" s="24">
        <v>1</v>
      </c>
      <c r="C4" s="24">
        <v>2</v>
      </c>
      <c r="D4" s="24">
        <v>3</v>
      </c>
      <c r="E4" s="24">
        <v>4</v>
      </c>
      <c r="F4" s="24">
        <v>5</v>
      </c>
      <c r="G4" s="24">
        <v>6</v>
      </c>
      <c r="H4" s="24">
        <v>7</v>
      </c>
      <c r="I4" s="24">
        <v>8</v>
      </c>
      <c r="J4" s="24">
        <v>9</v>
      </c>
      <c r="K4" s="24">
        <v>10</v>
      </c>
    </row>
    <row r="5" spans="1:11" ht="15" customHeight="1" x14ac:dyDescent="0.25">
      <c r="A5" s="2" t="s">
        <v>162</v>
      </c>
      <c r="B5" s="22">
        <f>INDEX('Cash Flow Model'!$C$19:$L$19,B$4)</f>
        <v>181318.71249999999</v>
      </c>
      <c r="C5" s="22">
        <f>INDEX('Cash Flow Model'!$C$19:$L$19,C$4)</f>
        <v>188491.59272499994</v>
      </c>
      <c r="D5" s="22">
        <f>INDEX('Cash Flow Model'!$C$19:$L$19,D$4)</f>
        <v>196121.09231425001</v>
      </c>
      <c r="E5" s="22">
        <f>INDEX('Cash Flow Model'!$C$19:$L$19,E$4)</f>
        <v>204234.04904730251</v>
      </c>
      <c r="F5" s="22">
        <f>INDEX('Cash Flow Model'!$C$19:$L$19,F$4)</f>
        <v>212567.66444311998</v>
      </c>
      <c r="G5" s="22">
        <f>INDEX('Cash Flow Model'!$C$19:$L$19,G$4)</f>
        <v>221108.21811312489</v>
      </c>
      <c r="H5" s="22">
        <f>INDEX('Cash Flow Model'!$C$19:$L$19,H$4)</f>
        <v>230160.30449952109</v>
      </c>
      <c r="I5" s="22">
        <f>INDEX('Cash Flow Model'!$C$19:$L$19,I$4)</f>
        <v>239752.72158508771</v>
      </c>
      <c r="J5" s="22">
        <f>INDEX('Cash Flow Model'!$C$19:$L$19,J$4)</f>
        <v>249915.8382019503</v>
      </c>
      <c r="K5" s="22">
        <f>INDEX('Cash Flow Model'!$C$19:$L$19,K$4)</f>
        <v>260681.67821804399</v>
      </c>
    </row>
    <row r="6" spans="1:11" ht="15" customHeight="1" x14ac:dyDescent="0.25">
      <c r="A6" s="2" t="s">
        <v>163</v>
      </c>
      <c r="B6" s="14">
        <f>B5/'Cash Flow Model'!$B$9</f>
        <v>3021978.5416666665</v>
      </c>
      <c r="C6" s="14">
        <f>C5/'Cash Flow Model'!$B$9</f>
        <v>3141526.5454166657</v>
      </c>
      <c r="D6" s="14">
        <f>D5/'Cash Flow Model'!$B$9</f>
        <v>3268684.8719041669</v>
      </c>
      <c r="E6" s="14">
        <f>E5/'Cash Flow Model'!$B$9</f>
        <v>3403900.8174550422</v>
      </c>
      <c r="F6" s="14">
        <f>F5/'Cash Flow Model'!$B$9</f>
        <v>3542794.407385333</v>
      </c>
      <c r="G6" s="14">
        <f>G5/'Cash Flow Model'!$B$9</f>
        <v>3685136.9685520818</v>
      </c>
      <c r="H6" s="14">
        <f>H5/'Cash Flow Model'!$B$9</f>
        <v>3836005.0749920183</v>
      </c>
      <c r="I6" s="14">
        <f>I5/'Cash Flow Model'!$B$9</f>
        <v>3995878.6930847955</v>
      </c>
      <c r="J6" s="14">
        <f>J5/'Cash Flow Model'!$B$9</f>
        <v>4165263.9700325052</v>
      </c>
      <c r="K6" s="14">
        <f>K5/'Cash Flow Model'!$B$9</f>
        <v>4344694.6369674001</v>
      </c>
    </row>
    <row r="7" spans="1:11" ht="15" customHeight="1" x14ac:dyDescent="0.25">
      <c r="A7" s="2" t="s">
        <v>164</v>
      </c>
      <c r="B7" s="14">
        <f>B6*'Cash Flow Model'!$B$10</f>
        <v>60439.570833333331</v>
      </c>
      <c r="C7" s="14">
        <f>C6*'Cash Flow Model'!$B$10</f>
        <v>62830.530908333312</v>
      </c>
      <c r="D7" s="14">
        <f>D6*'Cash Flow Model'!$B$10</f>
        <v>65373.697438083342</v>
      </c>
      <c r="E7" s="14">
        <f>E6*'Cash Flow Model'!$B$10</f>
        <v>68078.016349100842</v>
      </c>
      <c r="F7" s="14">
        <f>F6*'Cash Flow Model'!$B$10</f>
        <v>70855.888147706661</v>
      </c>
      <c r="G7" s="14">
        <f>G6*'Cash Flow Model'!$B$10</f>
        <v>73702.739371041636</v>
      </c>
      <c r="H7" s="14">
        <f>H6*'Cash Flow Model'!$B$10</f>
        <v>76720.10149984037</v>
      </c>
      <c r="I7" s="14">
        <f>I6*'Cash Flow Model'!$B$10</f>
        <v>79917.573861695913</v>
      </c>
      <c r="J7" s="14">
        <f>J6*'Cash Flow Model'!$B$10</f>
        <v>83305.279400650106</v>
      </c>
      <c r="K7" s="14">
        <f>K6*'Cash Flow Model'!$B$10</f>
        <v>86893.892739347997</v>
      </c>
    </row>
    <row r="8" spans="1:11" ht="15" customHeight="1" x14ac:dyDescent="0.25">
      <c r="A8" s="2" t="s">
        <v>165</v>
      </c>
      <c r="B8" s="22">
        <f>INDEX('Loan Amortization '!$B$14:$K$14,B$4)</f>
        <v>1201869.2582312138</v>
      </c>
      <c r="C8" s="22">
        <f>INDEX('Loan Amortization '!$B$14:$K$14,C$4)</f>
        <v>1188163.9713826934</v>
      </c>
      <c r="D8" s="22">
        <f>INDEX('Loan Amortization '!$B$14:$K$14,D$4)</f>
        <v>1173496.1622388016</v>
      </c>
      <c r="E8" s="22">
        <f>INDEX('Loan Amortization '!$B$14:$K$14,E$4)</f>
        <v>1157798.2328587342</v>
      </c>
      <c r="F8" s="22">
        <f>INDEX('Loan Amortization '!$B$14:$K$14,F$4)</f>
        <v>1140997.8378983047</v>
      </c>
      <c r="G8" s="22">
        <f>INDEX('Loan Amortization '!$B$14:$K$14,G$4)</f>
        <v>1123017.5511998043</v>
      </c>
      <c r="H8" s="22">
        <f>INDEX('Loan Amortization '!$B$14:$K$14,H$4)</f>
        <v>1103774.508966468</v>
      </c>
      <c r="I8" s="22">
        <f>INDEX('Loan Amortization '!$B$14:$K$14,I$4)</f>
        <v>1083180.0278770847</v>
      </c>
      <c r="J8" s="22">
        <f>INDEX('Loan Amortization '!$B$14:$K$14,J$4)</f>
        <v>1061139.1963807938</v>
      </c>
      <c r="K8" s="22">
        <f>INDEX('Loan Amortization '!$B$14:$K$14,K$4)</f>
        <v>1037550.4372885185</v>
      </c>
    </row>
    <row r="9" spans="1:11" ht="15" customHeight="1" x14ac:dyDescent="0.25">
      <c r="A9" s="7" t="s">
        <v>98</v>
      </c>
      <c r="B9" s="9">
        <f t="shared" ref="B9:K9" si="0">B6-B7-B8</f>
        <v>1759669.7126021194</v>
      </c>
      <c r="C9" s="9">
        <f t="shared" si="0"/>
        <v>1890532.0431256392</v>
      </c>
      <c r="D9" s="9">
        <f t="shared" si="0"/>
        <v>2029815.0122272822</v>
      </c>
      <c r="E9" s="9">
        <f t="shared" si="0"/>
        <v>2178024.568247207</v>
      </c>
      <c r="F9" s="9">
        <f t="shared" si="0"/>
        <v>2330940.6813393217</v>
      </c>
      <c r="G9" s="9">
        <f t="shared" si="0"/>
        <v>2488416.677981236</v>
      </c>
      <c r="H9" s="9">
        <f t="shared" si="0"/>
        <v>2655510.4645257099</v>
      </c>
      <c r="I9" s="9">
        <f t="shared" si="0"/>
        <v>2832781.0913460152</v>
      </c>
      <c r="J9" s="9">
        <f t="shared" si="0"/>
        <v>3020819.4942510612</v>
      </c>
      <c r="K9" s="9">
        <f t="shared" si="0"/>
        <v>3220250.3069395334</v>
      </c>
    </row>
    <row r="10" spans="1:11" ht="15" customHeight="1" x14ac:dyDescent="0.25">
      <c r="A10" s="2" t="s">
        <v>166</v>
      </c>
      <c r="B10" s="22">
        <f>INDEX('Cash Flow Model'!$C$24:$L$24,B$4)</f>
        <v>83206.147645901554</v>
      </c>
      <c r="C10" s="22">
        <f>INDEX('Cash Flow Model'!$C$24:$L$24,C$4)</f>
        <v>90379.027870901496</v>
      </c>
      <c r="D10" s="22">
        <f>INDEX('Cash Flow Model'!$C$24:$L$24,D$4)</f>
        <v>98008.52746015157</v>
      </c>
      <c r="E10" s="22">
        <f>INDEX('Cash Flow Model'!$C$24:$L$24,E$4)</f>
        <v>106121.48419320407</v>
      </c>
      <c r="F10" s="22">
        <f>INDEX('Cash Flow Model'!$C$24:$L$24,F$4)</f>
        <v>114455.09958902154</v>
      </c>
      <c r="G10" s="22">
        <f>INDEX('Cash Flow Model'!$C$24:$L$24,G$4)</f>
        <v>122995.65325902645</v>
      </c>
      <c r="H10" s="22">
        <f>INDEX('Cash Flow Model'!$C$24:$L$24,H$4)</f>
        <v>132047.73964542267</v>
      </c>
      <c r="I10" s="22">
        <f>INDEX('Cash Flow Model'!$C$24:$L$24,I$4)</f>
        <v>141640.15673098929</v>
      </c>
      <c r="J10" s="22">
        <f>INDEX('Cash Flow Model'!$C$24:$L$24,J$4)</f>
        <v>151803.27334785188</v>
      </c>
      <c r="K10" s="22">
        <f>INDEX('Cash Flow Model'!$C$24:$L$24,K$4)</f>
        <v>162569.11336394557</v>
      </c>
    </row>
    <row r="11" spans="1:11" ht="15" customHeight="1" x14ac:dyDescent="0.25">
      <c r="A11" s="7" t="s">
        <v>167</v>
      </c>
      <c r="B11" s="9">
        <f t="shared" ref="B11:K11" si="1">B9+B10</f>
        <v>1842875.8602480211</v>
      </c>
      <c r="C11" s="9">
        <f t="shared" si="1"/>
        <v>1980911.0709965406</v>
      </c>
      <c r="D11" s="9">
        <f t="shared" si="1"/>
        <v>2127823.5396874337</v>
      </c>
      <c r="E11" s="9">
        <f t="shared" si="1"/>
        <v>2284146.0524404109</v>
      </c>
      <c r="F11" s="9">
        <f t="shared" si="1"/>
        <v>2445395.7809283431</v>
      </c>
      <c r="G11" s="9">
        <f t="shared" si="1"/>
        <v>2611412.3312402624</v>
      </c>
      <c r="H11" s="9">
        <f t="shared" si="1"/>
        <v>2787558.2041711323</v>
      </c>
      <c r="I11" s="9">
        <f t="shared" si="1"/>
        <v>2974421.2480770047</v>
      </c>
      <c r="J11" s="9">
        <f t="shared" si="1"/>
        <v>3172622.7675989131</v>
      </c>
      <c r="K11" s="9">
        <f t="shared" si="1"/>
        <v>3382819.4203034788</v>
      </c>
    </row>
    <row r="12" spans="1:11" ht="15" customHeight="1" x14ac:dyDescent="0.25">
      <c r="A12" s="2" t="s">
        <v>45</v>
      </c>
      <c r="B12" s="22">
        <f>'Cash Flow Model'!$E$8</f>
        <v>520575.07922274899</v>
      </c>
      <c r="C12" s="22">
        <f>'Cash Flow Model'!$E$8</f>
        <v>520575.07922274899</v>
      </c>
      <c r="D12" s="22">
        <f>'Cash Flow Model'!$E$8</f>
        <v>520575.07922274899</v>
      </c>
      <c r="E12" s="22">
        <f>'Cash Flow Model'!$E$8</f>
        <v>520575.07922274899</v>
      </c>
      <c r="F12" s="22">
        <f>'Cash Flow Model'!$E$8</f>
        <v>520575.07922274899</v>
      </c>
      <c r="G12" s="22">
        <f>'Cash Flow Model'!$E$8</f>
        <v>520575.07922274899</v>
      </c>
      <c r="H12" s="22">
        <f>'Cash Flow Model'!$E$8</f>
        <v>520575.07922274899</v>
      </c>
      <c r="I12" s="22">
        <f>'Cash Flow Model'!$E$8</f>
        <v>520575.07922274899</v>
      </c>
      <c r="J12" s="22">
        <f>'Cash Flow Model'!$E$8</f>
        <v>520575.07922274899</v>
      </c>
      <c r="K12" s="22">
        <f>'Cash Flow Model'!$E$8</f>
        <v>520575.07922274899</v>
      </c>
    </row>
    <row r="13" spans="1:11" ht="15" customHeight="1" x14ac:dyDescent="0.25">
      <c r="A13" s="16" t="s">
        <v>104</v>
      </c>
      <c r="B13" s="25">
        <f>IFERROR(IRR($B19:$L19),IFERROR(IRR($B19:$L19,-0.5),"n/a"))</f>
        <v>2.540076991391039</v>
      </c>
      <c r="C13" s="25">
        <f>IFERROR(IRR($B20:$L20),IFERROR(IRR($B20:$L20,-0.5),"n/a"))</f>
        <v>1.0322553288528651</v>
      </c>
      <c r="D13" s="25">
        <f>IFERROR(IRR($B21:$L21),IFERROR(IRR($B21:$L21,-0.5),"n/a"))</f>
        <v>0.69134221634794857</v>
      </c>
      <c r="E13" s="25">
        <f>IFERROR(IRR($B22:$L22),IFERROR(IRR($B22:$L22,-0.5),"n/a"))</f>
        <v>0.54380380852553234</v>
      </c>
      <c r="F13" s="25">
        <f>IFERROR(IRR($B23:$L23),IFERROR(IRR($B23:$L23,-0.5),"n/a"))</f>
        <v>0.46154208338005098</v>
      </c>
      <c r="G13" s="25">
        <f>IFERROR(IRR($B24:$L24),IFERROR(IRR($B24:$L24,-0.5),"n/a"))</f>
        <v>0.40918068095500182</v>
      </c>
      <c r="H13" s="25">
        <f>IFERROR(IRR($B25:$L25),IFERROR(IRR($B25:$L25,-0.5),"n/a"))</f>
        <v>0.37328929964354418</v>
      </c>
      <c r="I13" s="25">
        <f>IFERROR(IRR($B26:$L26),IFERROR(IRR($B26:$L26,-0.5),"n/a"))</f>
        <v>0.34727558307660744</v>
      </c>
      <c r="J13" s="25">
        <f>IFERROR(IRR($B27:$L27),IFERROR(IRR($B27:$L27,-0.5),"n/a"))</f>
        <v>0.32764989767990604</v>
      </c>
      <c r="K13" s="25">
        <f>IFERROR(IRR($B28:$L28),IFERROR(IRR($B28:$L28,-0.5),"n/a"))</f>
        <v>0.31239316677485585</v>
      </c>
    </row>
    <row r="14" spans="1:11" ht="15" customHeight="1" x14ac:dyDescent="0.25">
      <c r="A14" s="2" t="s">
        <v>34</v>
      </c>
      <c r="B14" s="23">
        <f>SUM($C19:$L19)/B12</f>
        <v>3.540076991391039</v>
      </c>
      <c r="C14" s="23">
        <f>SUM($C20:$L20)/C12</f>
        <v>3.9650711319571768</v>
      </c>
      <c r="D14" s="23">
        <f>SUM($C21:$L21)/D12</f>
        <v>4.4208968255652641</v>
      </c>
      <c r="E14" s="23">
        <f>SUM($C22:$L22)/E12</f>
        <v>4.9094546731534754</v>
      </c>
      <c r="F14" s="23">
        <f>SUM($C23:$L23)/F12</f>
        <v>5.4230620726477765</v>
      </c>
      <c r="G14" s="23">
        <f>SUM($C24:$L24)/G12</f>
        <v>5.9618347897738113</v>
      </c>
      <c r="H14" s="23">
        <f>SUM($C25:$L25)/H12</f>
        <v>6.5364714524364445</v>
      </c>
      <c r="I14" s="23">
        <f>SUM($C26:$L26)/I12</f>
        <v>7.1490839194555118</v>
      </c>
      <c r="J14" s="23">
        <f>SUM($C27:$L27)/J12</f>
        <v>7.8019036371421571</v>
      </c>
      <c r="K14" s="23">
        <f>SUM($C28:$L28)/K12</f>
        <v>8.4972883001823192</v>
      </c>
    </row>
    <row r="15" spans="1:11" ht="15" customHeight="1" x14ac:dyDescent="0.25">
      <c r="A15" s="16" t="s">
        <v>29</v>
      </c>
      <c r="B15" s="25">
        <f>IFERROR(IRR($B32:$L32),IFERROR(IRR($B32:$L32,-0.5),"n/a"))</f>
        <v>0.81118409741731168</v>
      </c>
      <c r="C15" s="25">
        <f>IFERROR(IRR($B33:$L33),IFERROR(IRR($B33:$L33,-0.5),"n/a"))</f>
        <v>0.42540383369000989</v>
      </c>
      <c r="D15" s="25">
        <f>IFERROR(IRR($B34:$L34),IFERROR(IRR($B34:$L34,-0.5),"n/a"))</f>
        <v>0.31679677173299159</v>
      </c>
      <c r="E15" s="25">
        <f>IFERROR(IRR($B35:$L35),IFERROR(IRR($B35:$L35,-0.5),"n/a"))</f>
        <v>0.26606432612507702</v>
      </c>
      <c r="F15" s="25">
        <f>IFERROR(IRR($B36:$L36),IFERROR(IRR($B36:$L36,-0.5),"n/a"))</f>
        <v>0.23657999758284576</v>
      </c>
      <c r="G15" s="25">
        <f>IFERROR(IRR($B37:$L37),IFERROR(IRR($B37:$L37,-0.5),"n/a"))</f>
        <v>0.21730679788514751</v>
      </c>
      <c r="H15" s="25">
        <f>IFERROR(IRR($B38:$L38),IFERROR(IRR($B38:$L38,-0.5),"n/a"))</f>
        <v>0.20390983674070795</v>
      </c>
      <c r="I15" s="25">
        <f>IFERROR(IRR($B39:$L39),IFERROR(IRR($B39:$L39,-0.5),"n/a"))</f>
        <v>0.19411160068748612</v>
      </c>
      <c r="J15" s="25">
        <f>IFERROR(IRR($B40:$L40),IFERROR(IRR($B40:$L40,-0.5),"n/a"))</f>
        <v>0.18667405800267112</v>
      </c>
      <c r="K15" s="25">
        <f>IFERROR(IRR($B41:$L41),IFERROR(IRR($B41:$L41,-0.5),"n/a"))</f>
        <v>0.18086651272179655</v>
      </c>
    </row>
    <row r="17" spans="1:16" ht="15" customHeight="1" x14ac:dyDescent="0.25">
      <c r="A17" s="4" t="s">
        <v>168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spans="1:16" ht="15" customHeight="1" x14ac:dyDescent="0.25">
      <c r="A18" s="10" t="s">
        <v>169</v>
      </c>
      <c r="B18" s="38">
        <v>0</v>
      </c>
      <c r="C18" s="38">
        <v>1</v>
      </c>
      <c r="D18" s="38">
        <v>2</v>
      </c>
      <c r="E18" s="38">
        <v>3</v>
      </c>
      <c r="F18" s="38">
        <v>4</v>
      </c>
      <c r="G18" s="38">
        <v>5</v>
      </c>
      <c r="H18" s="38">
        <v>6</v>
      </c>
      <c r="I18" s="38">
        <v>7</v>
      </c>
      <c r="J18" s="38">
        <v>8</v>
      </c>
      <c r="K18" s="38">
        <v>9</v>
      </c>
      <c r="L18" s="38">
        <v>10</v>
      </c>
      <c r="N18" s="95" t="s">
        <v>287</v>
      </c>
      <c r="O18" s="95" t="s">
        <v>288</v>
      </c>
      <c r="P18" s="95" t="s">
        <v>289</v>
      </c>
    </row>
    <row r="19" spans="1:16" ht="15" customHeight="1" x14ac:dyDescent="0.25">
      <c r="A19" s="91">
        <v>1</v>
      </c>
      <c r="B19" s="92">
        <f>-'Cash Flow Model'!$E$8</f>
        <v>-520575.07922274899</v>
      </c>
      <c r="C19" s="92">
        <f>IF(C$18&lt;$A19,INDEX('Cash Flow Model'!$C$24:$L$24,C$18),IF(C$18=$A19,INDEX($B$11:$K$11,$A19),0))</f>
        <v>1842875.8602480211</v>
      </c>
      <c r="D19" s="92">
        <f>IF(D$18&lt;$A19,INDEX('Cash Flow Model'!$C$24:$L$24,D$18),IF(D$18=$A19,INDEX($B$11:$K$11,$A19),0))</f>
        <v>0</v>
      </c>
      <c r="E19" s="92">
        <f>IF(E$18&lt;$A19,INDEX('Cash Flow Model'!$C$24:$L$24,E$18),IF(E$18=$A19,INDEX($B$11:$K$11,$A19),0))</f>
        <v>0</v>
      </c>
      <c r="F19" s="92">
        <f>IF(F$18&lt;$A19,INDEX('Cash Flow Model'!$C$24:$L$24,F$18),IF(F$18=$A19,INDEX($B$11:$K$11,$A19),0))</f>
        <v>0</v>
      </c>
      <c r="G19" s="92">
        <f>IF(G$18&lt;$A19,INDEX('Cash Flow Model'!$C$24:$L$24,G$18),IF(G$18=$A19,INDEX($B$11:$K$11,$A19),0))</f>
        <v>0</v>
      </c>
      <c r="H19" s="92">
        <f>IF(H$18&lt;$A19,INDEX('Cash Flow Model'!$C$24:$L$24,H$18),IF(H$18=$A19,INDEX($B$11:$K$11,$A19),0))</f>
        <v>0</v>
      </c>
      <c r="I19" s="92">
        <f>IF(I$18&lt;$A19,INDEX('Cash Flow Model'!$C$24:$L$24,I$18),IF(I$18=$A19,INDEX($B$11:$K$11,$A19),0))</f>
        <v>0</v>
      </c>
      <c r="J19" s="92">
        <f>IF(J$18&lt;$A19,INDEX('Cash Flow Model'!$C$24:$L$24,J$18),IF(J$18=$A19,INDEX($B$11:$K$11,$A19),0))</f>
        <v>0</v>
      </c>
      <c r="K19" s="92">
        <f>IF(K$18&lt;$A19,INDEX('Cash Flow Model'!$C$24:$L$24,K$18),IF(K$18=$A19,INDEX($B$11:$K$11,$A19),0))</f>
        <v>0</v>
      </c>
      <c r="L19" s="92">
        <f>IF(L$18&lt;$A19,INDEX('Cash Flow Model'!$C$24:$L$24,L$18),IF(L$18=$A19,INDEX($B$11:$K$11,$A19),0))</f>
        <v>0</v>
      </c>
      <c r="N19" s="96">
        <f t="shared" ref="N19:N28" si="2">IFERROR(IRR(B19:L19),0)</f>
        <v>2.540076991391039</v>
      </c>
      <c r="O19" s="97">
        <f>SUM(C19:L19)/'Cash Flow Model'!$E$8</f>
        <v>3.540076991391039</v>
      </c>
      <c r="P19" s="98">
        <f>SUM(C19:L19)-'Cash Flow Model'!$E$8</f>
        <v>1322300.7810252721</v>
      </c>
    </row>
    <row r="20" spans="1:16" ht="15" customHeight="1" x14ac:dyDescent="0.25">
      <c r="A20" s="93">
        <v>2</v>
      </c>
      <c r="B20" s="94">
        <f>-'Cash Flow Model'!$E$8</f>
        <v>-520575.07922274899</v>
      </c>
      <c r="C20" s="94">
        <f>IF(C$18&lt;$A20,INDEX('Cash Flow Model'!$C$24:$L$24,C$18),IF(C$18=$A20,INDEX($B$11:$K$11,$A20),0))</f>
        <v>83206.147645901554</v>
      </c>
      <c r="D20" s="94">
        <f>IF(D$18&lt;$A20,INDEX('Cash Flow Model'!$C$24:$L$24,D$18),IF(D$18=$A20,INDEX($B$11:$K$11,$A20),0))</f>
        <v>1980911.0709965406</v>
      </c>
      <c r="E20" s="94">
        <f>IF(E$18&lt;$A20,INDEX('Cash Flow Model'!$C$24:$L$24,E$18),IF(E$18=$A20,INDEX($B$11:$K$11,$A20),0))</f>
        <v>0</v>
      </c>
      <c r="F20" s="94">
        <f>IF(F$18&lt;$A20,INDEX('Cash Flow Model'!$C$24:$L$24,F$18),IF(F$18=$A20,INDEX($B$11:$K$11,$A20),0))</f>
        <v>0</v>
      </c>
      <c r="G20" s="94">
        <f>IF(G$18&lt;$A20,INDEX('Cash Flow Model'!$C$24:$L$24,G$18),IF(G$18=$A20,INDEX($B$11:$K$11,$A20),0))</f>
        <v>0</v>
      </c>
      <c r="H20" s="94">
        <f>IF(H$18&lt;$A20,INDEX('Cash Flow Model'!$C$24:$L$24,H$18),IF(H$18=$A20,INDEX($B$11:$K$11,$A20),0))</f>
        <v>0</v>
      </c>
      <c r="I20" s="94">
        <f>IF(I$18&lt;$A20,INDEX('Cash Flow Model'!$C$24:$L$24,I$18),IF(I$18=$A20,INDEX($B$11:$K$11,$A20),0))</f>
        <v>0</v>
      </c>
      <c r="J20" s="94">
        <f>IF(J$18&lt;$A20,INDEX('Cash Flow Model'!$C$24:$L$24,J$18),IF(J$18=$A20,INDEX($B$11:$K$11,$A20),0))</f>
        <v>0</v>
      </c>
      <c r="K20" s="94">
        <f>IF(K$18&lt;$A20,INDEX('Cash Flow Model'!$C$24:$L$24,K$18),IF(K$18=$A20,INDEX($B$11:$K$11,$A20),0))</f>
        <v>0</v>
      </c>
      <c r="L20" s="94">
        <f>IF(L$18&lt;$A20,INDEX('Cash Flow Model'!$C$24:$L$24,L$18),IF(L$18=$A20,INDEX($B$11:$K$11,$A20),0))</f>
        <v>0</v>
      </c>
      <c r="N20" s="96">
        <f t="shared" si="2"/>
        <v>1.0322553288528651</v>
      </c>
      <c r="O20" s="97">
        <f>SUM(C20:L20)/'Cash Flow Model'!$E$8</f>
        <v>3.9650711319571768</v>
      </c>
      <c r="P20" s="98">
        <f>SUM(C20:L20)-'Cash Flow Model'!$E$8</f>
        <v>1543542.1394196933</v>
      </c>
    </row>
    <row r="21" spans="1:16" ht="15" customHeight="1" x14ac:dyDescent="0.25">
      <c r="A21" s="93">
        <v>3</v>
      </c>
      <c r="B21" s="94">
        <f>-'Cash Flow Model'!$E$8</f>
        <v>-520575.07922274899</v>
      </c>
      <c r="C21" s="94">
        <f>IF(C$18&lt;$A21,INDEX('Cash Flow Model'!$C$24:$L$24,C$18),IF(C$18=$A21,INDEX($B$11:$K$11,$A21),0))</f>
        <v>83206.147645901554</v>
      </c>
      <c r="D21" s="94">
        <f>IF(D$18&lt;$A21,INDEX('Cash Flow Model'!$C$24:$L$24,D$18),IF(D$18=$A21,INDEX($B$11:$K$11,$A21),0))</f>
        <v>90379.027870901496</v>
      </c>
      <c r="E21" s="94">
        <f>IF(E$18&lt;$A21,INDEX('Cash Flow Model'!$C$24:$L$24,E$18),IF(E$18=$A21,INDEX($B$11:$K$11,$A21),0))</f>
        <v>2127823.5396874337</v>
      </c>
      <c r="F21" s="94">
        <f>IF(F$18&lt;$A21,INDEX('Cash Flow Model'!$C$24:$L$24,F$18),IF(F$18=$A21,INDEX($B$11:$K$11,$A21),0))</f>
        <v>0</v>
      </c>
      <c r="G21" s="94">
        <f>IF(G$18&lt;$A21,INDEX('Cash Flow Model'!$C$24:$L$24,G$18),IF(G$18=$A21,INDEX($B$11:$K$11,$A21),0))</f>
        <v>0</v>
      </c>
      <c r="H21" s="94">
        <f>IF(H$18&lt;$A21,INDEX('Cash Flow Model'!$C$24:$L$24,H$18),IF(H$18=$A21,INDEX($B$11:$K$11,$A21),0))</f>
        <v>0</v>
      </c>
      <c r="I21" s="94">
        <f>IF(I$18&lt;$A21,INDEX('Cash Flow Model'!$C$24:$L$24,I$18),IF(I$18=$A21,INDEX($B$11:$K$11,$A21),0))</f>
        <v>0</v>
      </c>
      <c r="J21" s="94">
        <f>IF(J$18&lt;$A21,INDEX('Cash Flow Model'!$C$24:$L$24,J$18),IF(J$18=$A21,INDEX($B$11:$K$11,$A21),0))</f>
        <v>0</v>
      </c>
      <c r="K21" s="94">
        <f>IF(K$18&lt;$A21,INDEX('Cash Flow Model'!$C$24:$L$24,K$18),IF(K$18=$A21,INDEX($B$11:$K$11,$A21),0))</f>
        <v>0</v>
      </c>
      <c r="L21" s="94">
        <f>IF(L$18&lt;$A21,INDEX('Cash Flow Model'!$C$24:$L$24,L$18),IF(L$18=$A21,INDEX($B$11:$K$11,$A21),0))</f>
        <v>0</v>
      </c>
      <c r="N21" s="96">
        <f t="shared" si="2"/>
        <v>0.69134221634794857</v>
      </c>
      <c r="O21" s="97">
        <f>SUM(C21:L21)/'Cash Flow Model'!$E$8</f>
        <v>4.4208968255652641</v>
      </c>
      <c r="P21" s="98">
        <f>SUM(C21:L21)-'Cash Flow Model'!$E$8</f>
        <v>1780833.635981488</v>
      </c>
    </row>
    <row r="22" spans="1:16" ht="15" customHeight="1" x14ac:dyDescent="0.25">
      <c r="A22" s="93">
        <v>4</v>
      </c>
      <c r="B22" s="94">
        <f>-'Cash Flow Model'!$E$8</f>
        <v>-520575.07922274899</v>
      </c>
      <c r="C22" s="94">
        <f>IF(C$18&lt;$A22,INDEX('Cash Flow Model'!$C$24:$L$24,C$18),IF(C$18=$A22,INDEX($B$11:$K$11,$A22),0))</f>
        <v>83206.147645901554</v>
      </c>
      <c r="D22" s="94">
        <f>IF(D$18&lt;$A22,INDEX('Cash Flow Model'!$C$24:$L$24,D$18),IF(D$18=$A22,INDEX($B$11:$K$11,$A22),0))</f>
        <v>90379.027870901496</v>
      </c>
      <c r="E22" s="94">
        <f>IF(E$18&lt;$A22,INDEX('Cash Flow Model'!$C$24:$L$24,E$18),IF(E$18=$A22,INDEX($B$11:$K$11,$A22),0))</f>
        <v>98008.52746015157</v>
      </c>
      <c r="F22" s="94">
        <f>IF(F$18&lt;$A22,INDEX('Cash Flow Model'!$C$24:$L$24,F$18),IF(F$18=$A22,INDEX($B$11:$K$11,$A22),0))</f>
        <v>2284146.0524404109</v>
      </c>
      <c r="G22" s="94">
        <f>IF(G$18&lt;$A22,INDEX('Cash Flow Model'!$C$24:$L$24,G$18),IF(G$18=$A22,INDEX($B$11:$K$11,$A22),0))</f>
        <v>0</v>
      </c>
      <c r="H22" s="94">
        <f>IF(H$18&lt;$A22,INDEX('Cash Flow Model'!$C$24:$L$24,H$18),IF(H$18=$A22,INDEX($B$11:$K$11,$A22),0))</f>
        <v>0</v>
      </c>
      <c r="I22" s="94">
        <f>IF(I$18&lt;$A22,INDEX('Cash Flow Model'!$C$24:$L$24,I$18),IF(I$18=$A22,INDEX($B$11:$K$11,$A22),0))</f>
        <v>0</v>
      </c>
      <c r="J22" s="94">
        <f>IF(J$18&lt;$A22,INDEX('Cash Flow Model'!$C$24:$L$24,J$18),IF(J$18=$A22,INDEX($B$11:$K$11,$A22),0))</f>
        <v>0</v>
      </c>
      <c r="K22" s="94">
        <f>IF(K$18&lt;$A22,INDEX('Cash Flow Model'!$C$24:$L$24,K$18),IF(K$18=$A22,INDEX($B$11:$K$11,$A22),0))</f>
        <v>0</v>
      </c>
      <c r="L22" s="94">
        <f>IF(L$18&lt;$A22,INDEX('Cash Flow Model'!$C$24:$L$24,L$18),IF(L$18=$A22,INDEX($B$11:$K$11,$A22),0))</f>
        <v>0</v>
      </c>
      <c r="N22" s="96">
        <f t="shared" si="2"/>
        <v>0.54380380852553234</v>
      </c>
      <c r="O22" s="97">
        <f>SUM(C22:L22)/'Cash Flow Model'!$E$8</f>
        <v>4.9094546731534754</v>
      </c>
      <c r="P22" s="98">
        <f>SUM(C22:L22)-'Cash Flow Model'!$E$8</f>
        <v>2035164.6761946166</v>
      </c>
    </row>
    <row r="23" spans="1:16" ht="15" customHeight="1" x14ac:dyDescent="0.25">
      <c r="A23" s="93">
        <v>5</v>
      </c>
      <c r="B23" s="94">
        <f>-'Cash Flow Model'!$E$8</f>
        <v>-520575.07922274899</v>
      </c>
      <c r="C23" s="94">
        <f>IF(C$18&lt;$A23,INDEX('Cash Flow Model'!$C$24:$L$24,C$18),IF(C$18=$A23,INDEX($B$11:$K$11,$A23),0))</f>
        <v>83206.147645901554</v>
      </c>
      <c r="D23" s="94">
        <f>IF(D$18&lt;$A23,INDEX('Cash Flow Model'!$C$24:$L$24,D$18),IF(D$18=$A23,INDEX($B$11:$K$11,$A23),0))</f>
        <v>90379.027870901496</v>
      </c>
      <c r="E23" s="94">
        <f>IF(E$18&lt;$A23,INDEX('Cash Flow Model'!$C$24:$L$24,E$18),IF(E$18=$A23,INDEX($B$11:$K$11,$A23),0))</f>
        <v>98008.52746015157</v>
      </c>
      <c r="F23" s="94">
        <f>IF(F$18&lt;$A23,INDEX('Cash Flow Model'!$C$24:$L$24,F$18),IF(F$18=$A23,INDEX($B$11:$K$11,$A23),0))</f>
        <v>106121.48419320407</v>
      </c>
      <c r="G23" s="94">
        <f>IF(G$18&lt;$A23,INDEX('Cash Flow Model'!$C$24:$L$24,G$18),IF(G$18=$A23,INDEX($B$11:$K$11,$A23),0))</f>
        <v>2445395.7809283431</v>
      </c>
      <c r="H23" s="94">
        <f>IF(H$18&lt;$A23,INDEX('Cash Flow Model'!$C$24:$L$24,H$18),IF(H$18=$A23,INDEX($B$11:$K$11,$A23),0))</f>
        <v>0</v>
      </c>
      <c r="I23" s="94">
        <f>IF(I$18&lt;$A23,INDEX('Cash Flow Model'!$C$24:$L$24,I$18),IF(I$18=$A23,INDEX($B$11:$K$11,$A23),0))</f>
        <v>0</v>
      </c>
      <c r="J23" s="94">
        <f>IF(J$18&lt;$A23,INDEX('Cash Flow Model'!$C$24:$L$24,J$18),IF(J$18=$A23,INDEX($B$11:$K$11,$A23),0))</f>
        <v>0</v>
      </c>
      <c r="K23" s="94">
        <f>IF(K$18&lt;$A23,INDEX('Cash Flow Model'!$C$24:$L$24,K$18),IF(K$18=$A23,INDEX($B$11:$K$11,$A23),0))</f>
        <v>0</v>
      </c>
      <c r="L23" s="94">
        <f>IF(L$18&lt;$A23,INDEX('Cash Flow Model'!$C$24:$L$24,L$18),IF(L$18=$A23,INDEX($B$11:$K$11,$A23),0))</f>
        <v>0</v>
      </c>
      <c r="N23" s="96">
        <f t="shared" si="2"/>
        <v>0.46154208338005098</v>
      </c>
      <c r="O23" s="97">
        <f>SUM(C23:L23)/'Cash Flow Model'!$E$8</f>
        <v>5.4230620726477765</v>
      </c>
      <c r="P23" s="98">
        <f>SUM(C23:L23)-'Cash Flow Model'!$E$8</f>
        <v>2302535.8888757527</v>
      </c>
    </row>
    <row r="24" spans="1:16" ht="15" customHeight="1" x14ac:dyDescent="0.25">
      <c r="A24" s="93">
        <v>6</v>
      </c>
      <c r="B24" s="94">
        <f>-'Cash Flow Model'!$E$8</f>
        <v>-520575.07922274899</v>
      </c>
      <c r="C24" s="94">
        <f>IF(C$18&lt;$A24,INDEX('Cash Flow Model'!$C$24:$L$24,C$18),IF(C$18=$A24,INDEX($B$11:$K$11,$A24),0))</f>
        <v>83206.147645901554</v>
      </c>
      <c r="D24" s="94">
        <f>IF(D$18&lt;$A24,INDEX('Cash Flow Model'!$C$24:$L$24,D$18),IF(D$18=$A24,INDEX($B$11:$K$11,$A24),0))</f>
        <v>90379.027870901496</v>
      </c>
      <c r="E24" s="94">
        <f>IF(E$18&lt;$A24,INDEX('Cash Flow Model'!$C$24:$L$24,E$18),IF(E$18=$A24,INDEX($B$11:$K$11,$A24),0))</f>
        <v>98008.52746015157</v>
      </c>
      <c r="F24" s="94">
        <f>IF(F$18&lt;$A24,INDEX('Cash Flow Model'!$C$24:$L$24,F$18),IF(F$18=$A24,INDEX($B$11:$K$11,$A24),0))</f>
        <v>106121.48419320407</v>
      </c>
      <c r="G24" s="94">
        <f>IF(G$18&lt;$A24,INDEX('Cash Flow Model'!$C$24:$L$24,G$18),IF(G$18=$A24,INDEX($B$11:$K$11,$A24),0))</f>
        <v>114455.09958902154</v>
      </c>
      <c r="H24" s="94">
        <f>IF(H$18&lt;$A24,INDEX('Cash Flow Model'!$C$24:$L$24,H$18),IF(H$18=$A24,INDEX($B$11:$K$11,$A24),0))</f>
        <v>2611412.3312402624</v>
      </c>
      <c r="I24" s="94">
        <f>IF(I$18&lt;$A24,INDEX('Cash Flow Model'!$C$24:$L$24,I$18),IF(I$18=$A24,INDEX($B$11:$K$11,$A24),0))</f>
        <v>0</v>
      </c>
      <c r="J24" s="94">
        <f>IF(J$18&lt;$A24,INDEX('Cash Flow Model'!$C$24:$L$24,J$18),IF(J$18=$A24,INDEX($B$11:$K$11,$A24),0))</f>
        <v>0</v>
      </c>
      <c r="K24" s="94">
        <f>IF(K$18&lt;$A24,INDEX('Cash Flow Model'!$C$24:$L$24,K$18),IF(K$18=$A24,INDEX($B$11:$K$11,$A24),0))</f>
        <v>0</v>
      </c>
      <c r="L24" s="94">
        <f>IF(L$18&lt;$A24,INDEX('Cash Flow Model'!$C$24:$L$24,L$18),IF(L$18=$A24,INDEX($B$11:$K$11,$A24),0))</f>
        <v>0</v>
      </c>
      <c r="N24" s="96">
        <f t="shared" si="2"/>
        <v>0.40918068095500182</v>
      </c>
      <c r="O24" s="97">
        <f>SUM(C24:L24)/'Cash Flow Model'!$E$8</f>
        <v>5.9618347897738113</v>
      </c>
      <c r="P24" s="98">
        <f>SUM(C24:L24)-'Cash Flow Model'!$E$8</f>
        <v>2583007.5387766939</v>
      </c>
    </row>
    <row r="25" spans="1:16" ht="15" customHeight="1" x14ac:dyDescent="0.25">
      <c r="A25" s="93">
        <v>7</v>
      </c>
      <c r="B25" s="94">
        <f>-'Cash Flow Model'!$E$8</f>
        <v>-520575.07922274899</v>
      </c>
      <c r="C25" s="94">
        <f>IF(C$18&lt;$A25,INDEX('Cash Flow Model'!$C$24:$L$24,C$18),IF(C$18=$A25,INDEX($B$11:$K$11,$A25),0))</f>
        <v>83206.147645901554</v>
      </c>
      <c r="D25" s="94">
        <f>IF(D$18&lt;$A25,INDEX('Cash Flow Model'!$C$24:$L$24,D$18),IF(D$18=$A25,INDEX($B$11:$K$11,$A25),0))</f>
        <v>90379.027870901496</v>
      </c>
      <c r="E25" s="94">
        <f>IF(E$18&lt;$A25,INDEX('Cash Flow Model'!$C$24:$L$24,E$18),IF(E$18=$A25,INDEX($B$11:$K$11,$A25),0))</f>
        <v>98008.52746015157</v>
      </c>
      <c r="F25" s="94">
        <f>IF(F$18&lt;$A25,INDEX('Cash Flow Model'!$C$24:$L$24,F$18),IF(F$18=$A25,INDEX($B$11:$K$11,$A25),0))</f>
        <v>106121.48419320407</v>
      </c>
      <c r="G25" s="94">
        <f>IF(G$18&lt;$A25,INDEX('Cash Flow Model'!$C$24:$L$24,G$18),IF(G$18=$A25,INDEX($B$11:$K$11,$A25),0))</f>
        <v>114455.09958902154</v>
      </c>
      <c r="H25" s="94">
        <f>IF(H$18&lt;$A25,INDEX('Cash Flow Model'!$C$24:$L$24,H$18),IF(H$18=$A25,INDEX($B$11:$K$11,$A25),0))</f>
        <v>122995.65325902645</v>
      </c>
      <c r="I25" s="94">
        <f>IF(I$18&lt;$A25,INDEX('Cash Flow Model'!$C$24:$L$24,I$18),IF(I$18=$A25,INDEX($B$11:$K$11,$A25),0))</f>
        <v>2787558.2041711323</v>
      </c>
      <c r="J25" s="94">
        <f>IF(J$18&lt;$A25,INDEX('Cash Flow Model'!$C$24:$L$24,J$18),IF(J$18=$A25,INDEX($B$11:$K$11,$A25),0))</f>
        <v>0</v>
      </c>
      <c r="K25" s="94">
        <f>IF(K$18&lt;$A25,INDEX('Cash Flow Model'!$C$24:$L$24,K$18),IF(K$18=$A25,INDEX($B$11:$K$11,$A25),0))</f>
        <v>0</v>
      </c>
      <c r="L25" s="94">
        <f>IF(L$18&lt;$A25,INDEX('Cash Flow Model'!$C$24:$L$24,L$18),IF(L$18=$A25,INDEX($B$11:$K$11,$A25),0))</f>
        <v>0</v>
      </c>
      <c r="N25" s="96">
        <f t="shared" si="2"/>
        <v>0.37328929964354418</v>
      </c>
      <c r="O25" s="97">
        <f>SUM(C25:L25)/'Cash Flow Model'!$E$8</f>
        <v>6.5364714524364445</v>
      </c>
      <c r="P25" s="98">
        <f>SUM(C25:L25)-'Cash Flow Model'!$E$8</f>
        <v>2882149.0649665901</v>
      </c>
    </row>
    <row r="26" spans="1:16" ht="15" customHeight="1" x14ac:dyDescent="0.25">
      <c r="A26" s="93">
        <v>8</v>
      </c>
      <c r="B26" s="94">
        <f>-'Cash Flow Model'!$E$8</f>
        <v>-520575.07922274899</v>
      </c>
      <c r="C26" s="94">
        <f>IF(C$18&lt;$A26,INDEX('Cash Flow Model'!$C$24:$L$24,C$18),IF(C$18=$A26,INDEX($B$11:$K$11,$A26),0))</f>
        <v>83206.147645901554</v>
      </c>
      <c r="D26" s="94">
        <f>IF(D$18&lt;$A26,INDEX('Cash Flow Model'!$C$24:$L$24,D$18),IF(D$18=$A26,INDEX($B$11:$K$11,$A26),0))</f>
        <v>90379.027870901496</v>
      </c>
      <c r="E26" s="94">
        <f>IF(E$18&lt;$A26,INDEX('Cash Flow Model'!$C$24:$L$24,E$18),IF(E$18=$A26,INDEX($B$11:$K$11,$A26),0))</f>
        <v>98008.52746015157</v>
      </c>
      <c r="F26" s="94">
        <f>IF(F$18&lt;$A26,INDEX('Cash Flow Model'!$C$24:$L$24,F$18),IF(F$18=$A26,INDEX($B$11:$K$11,$A26),0))</f>
        <v>106121.48419320407</v>
      </c>
      <c r="G26" s="94">
        <f>IF(G$18&lt;$A26,INDEX('Cash Flow Model'!$C$24:$L$24,G$18),IF(G$18=$A26,INDEX($B$11:$K$11,$A26),0))</f>
        <v>114455.09958902154</v>
      </c>
      <c r="H26" s="94">
        <f>IF(H$18&lt;$A26,INDEX('Cash Flow Model'!$C$24:$L$24,H$18),IF(H$18=$A26,INDEX($B$11:$K$11,$A26),0))</f>
        <v>122995.65325902645</v>
      </c>
      <c r="I26" s="94">
        <f>IF(I$18&lt;$A26,INDEX('Cash Flow Model'!$C$24:$L$24,I$18),IF(I$18=$A26,INDEX($B$11:$K$11,$A26),0))</f>
        <v>132047.73964542267</v>
      </c>
      <c r="J26" s="94">
        <f>IF(J$18&lt;$A26,INDEX('Cash Flow Model'!$C$24:$L$24,J$18),IF(J$18=$A26,INDEX($B$11:$K$11,$A26),0))</f>
        <v>2974421.2480770047</v>
      </c>
      <c r="K26" s="94">
        <f>IF(K$18&lt;$A26,INDEX('Cash Flow Model'!$C$24:$L$24,K$18),IF(K$18=$A26,INDEX($B$11:$K$11,$A26),0))</f>
        <v>0</v>
      </c>
      <c r="L26" s="94">
        <f>IF(L$18&lt;$A26,INDEX('Cash Flow Model'!$C$24:$L$24,L$18),IF(L$18=$A26,INDEX($B$11:$K$11,$A26),0))</f>
        <v>0</v>
      </c>
      <c r="N26" s="96">
        <f t="shared" si="2"/>
        <v>0.34727558307660744</v>
      </c>
      <c r="O26" s="97">
        <f>SUM(C26:L26)/'Cash Flow Model'!$E$8</f>
        <v>7.1490839194555118</v>
      </c>
      <c r="P26" s="98">
        <f>SUM(C26:L26)-'Cash Flow Model'!$E$8</f>
        <v>3201059.848517885</v>
      </c>
    </row>
    <row r="27" spans="1:16" ht="15" customHeight="1" x14ac:dyDescent="0.25">
      <c r="A27" s="93">
        <v>9</v>
      </c>
      <c r="B27" s="94">
        <f>-'Cash Flow Model'!$E$8</f>
        <v>-520575.07922274899</v>
      </c>
      <c r="C27" s="94">
        <f>IF(C$18&lt;$A27,INDEX('Cash Flow Model'!$C$24:$L$24,C$18),IF(C$18=$A27,INDEX($B$11:$K$11,$A27),0))</f>
        <v>83206.147645901554</v>
      </c>
      <c r="D27" s="94">
        <f>IF(D$18&lt;$A27,INDEX('Cash Flow Model'!$C$24:$L$24,D$18),IF(D$18=$A27,INDEX($B$11:$K$11,$A27),0))</f>
        <v>90379.027870901496</v>
      </c>
      <c r="E27" s="94">
        <f>IF(E$18&lt;$A27,INDEX('Cash Flow Model'!$C$24:$L$24,E$18),IF(E$18=$A27,INDEX($B$11:$K$11,$A27),0))</f>
        <v>98008.52746015157</v>
      </c>
      <c r="F27" s="94">
        <f>IF(F$18&lt;$A27,INDEX('Cash Flow Model'!$C$24:$L$24,F$18),IF(F$18=$A27,INDEX($B$11:$K$11,$A27),0))</f>
        <v>106121.48419320407</v>
      </c>
      <c r="G27" s="94">
        <f>IF(G$18&lt;$A27,INDEX('Cash Flow Model'!$C$24:$L$24,G$18),IF(G$18=$A27,INDEX($B$11:$K$11,$A27),0))</f>
        <v>114455.09958902154</v>
      </c>
      <c r="H27" s="94">
        <f>IF(H$18&lt;$A27,INDEX('Cash Flow Model'!$C$24:$L$24,H$18),IF(H$18=$A27,INDEX($B$11:$K$11,$A27),0))</f>
        <v>122995.65325902645</v>
      </c>
      <c r="I27" s="94">
        <f>IF(I$18&lt;$A27,INDEX('Cash Flow Model'!$C$24:$L$24,I$18),IF(I$18=$A27,INDEX($B$11:$K$11,$A27),0))</f>
        <v>132047.73964542267</v>
      </c>
      <c r="J27" s="94">
        <f>IF(J$18&lt;$A27,INDEX('Cash Flow Model'!$C$24:$L$24,J$18),IF(J$18=$A27,INDEX($B$11:$K$11,$A27),0))</f>
        <v>141640.15673098929</v>
      </c>
      <c r="K27" s="94">
        <f>IF(K$18&lt;$A27,INDEX('Cash Flow Model'!$C$24:$L$24,K$18),IF(K$18=$A27,INDEX($B$11:$K$11,$A27),0))</f>
        <v>3172622.7675989131</v>
      </c>
      <c r="L27" s="94">
        <f>IF(L$18&lt;$A27,INDEX('Cash Flow Model'!$C$24:$L$24,L$18),IF(L$18=$A27,INDEX($B$11:$K$11,$A27),0))</f>
        <v>0</v>
      </c>
      <c r="N27" s="96">
        <f t="shared" si="2"/>
        <v>0.32764989767990604</v>
      </c>
      <c r="O27" s="97">
        <f>SUM(C27:L27)/'Cash Flow Model'!$E$8</f>
        <v>7.8019036371421571</v>
      </c>
      <c r="P27" s="98">
        <f>SUM(C27:L27)-'Cash Flow Model'!$E$8</f>
        <v>3540901.5247707828</v>
      </c>
    </row>
    <row r="28" spans="1:16" ht="15" customHeight="1" x14ac:dyDescent="0.25">
      <c r="A28" s="93">
        <v>10</v>
      </c>
      <c r="B28" s="94">
        <f>-'Cash Flow Model'!$E$8</f>
        <v>-520575.07922274899</v>
      </c>
      <c r="C28" s="94">
        <f>IF(C$18&lt;$A28,INDEX('Cash Flow Model'!$C$24:$L$24,C$18),IF(C$18=$A28,INDEX($B$11:$K$11,$A28),0))</f>
        <v>83206.147645901554</v>
      </c>
      <c r="D28" s="94">
        <f>IF(D$18&lt;$A28,INDEX('Cash Flow Model'!$C$24:$L$24,D$18),IF(D$18=$A28,INDEX($B$11:$K$11,$A28),0))</f>
        <v>90379.027870901496</v>
      </c>
      <c r="E28" s="94">
        <f>IF(E$18&lt;$A28,INDEX('Cash Flow Model'!$C$24:$L$24,E$18),IF(E$18=$A28,INDEX($B$11:$K$11,$A28),0))</f>
        <v>98008.52746015157</v>
      </c>
      <c r="F28" s="94">
        <f>IF(F$18&lt;$A28,INDEX('Cash Flow Model'!$C$24:$L$24,F$18),IF(F$18=$A28,INDEX($B$11:$K$11,$A28),0))</f>
        <v>106121.48419320407</v>
      </c>
      <c r="G28" s="94">
        <f>IF(G$18&lt;$A28,INDEX('Cash Flow Model'!$C$24:$L$24,G$18),IF(G$18=$A28,INDEX($B$11:$K$11,$A28),0))</f>
        <v>114455.09958902154</v>
      </c>
      <c r="H28" s="94">
        <f>IF(H$18&lt;$A28,INDEX('Cash Flow Model'!$C$24:$L$24,H$18),IF(H$18=$A28,INDEX($B$11:$K$11,$A28),0))</f>
        <v>122995.65325902645</v>
      </c>
      <c r="I28" s="94">
        <f>IF(I$18&lt;$A28,INDEX('Cash Flow Model'!$C$24:$L$24,I$18),IF(I$18=$A28,INDEX($B$11:$K$11,$A28),0))</f>
        <v>132047.73964542267</v>
      </c>
      <c r="J28" s="94">
        <f>IF(J$18&lt;$A28,INDEX('Cash Flow Model'!$C$24:$L$24,J$18),IF(J$18=$A28,INDEX($B$11:$K$11,$A28),0))</f>
        <v>141640.15673098929</v>
      </c>
      <c r="K28" s="94">
        <f>IF(K$18&lt;$A28,INDEX('Cash Flow Model'!$C$24:$L$24,K$18),IF(K$18=$A28,INDEX($B$11:$K$11,$A28),0))</f>
        <v>151803.27334785188</v>
      </c>
      <c r="L28" s="94">
        <f>IF(L$18&lt;$A28,INDEX('Cash Flow Model'!$C$24:$L$24,L$18),IF(L$18=$A28,INDEX($B$11:$K$11,$A28),0))</f>
        <v>3382819.4203034788</v>
      </c>
      <c r="N28" s="96">
        <f t="shared" si="2"/>
        <v>0.31239316677485585</v>
      </c>
      <c r="O28" s="97">
        <f>SUM(C28:L28)/'Cash Flow Model'!$E$8</f>
        <v>8.4972883001823192</v>
      </c>
      <c r="P28" s="98">
        <f>SUM(C28:L28)-'Cash Flow Model'!$E$8</f>
        <v>3902901.4508231999</v>
      </c>
    </row>
    <row r="30" spans="1:16" ht="15" customHeight="1" x14ac:dyDescent="0.25">
      <c r="A30" s="4" t="s">
        <v>170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</row>
    <row r="31" spans="1:16" ht="15" customHeight="1" x14ac:dyDescent="0.25">
      <c r="A31" s="10" t="s">
        <v>169</v>
      </c>
      <c r="B31" s="38">
        <v>0</v>
      </c>
      <c r="C31" s="38">
        <v>1</v>
      </c>
      <c r="D31" s="38">
        <v>2</v>
      </c>
      <c r="E31" s="38">
        <v>3</v>
      </c>
      <c r="F31" s="38">
        <v>4</v>
      </c>
      <c r="G31" s="38">
        <v>5</v>
      </c>
      <c r="H31" s="38">
        <v>6</v>
      </c>
      <c r="I31" s="38">
        <v>7</v>
      </c>
      <c r="J31" s="38">
        <v>8</v>
      </c>
      <c r="K31" s="38">
        <v>9</v>
      </c>
      <c r="L31" s="38">
        <v>10</v>
      </c>
    </row>
    <row r="32" spans="1:16" ht="15" customHeight="1" x14ac:dyDescent="0.25">
      <c r="A32" s="39">
        <v>1</v>
      </c>
      <c r="B32" s="14">
        <f>-'Cash Flow Model'!$E$6</f>
        <v>-1735250.2640758294</v>
      </c>
      <c r="C32" s="14">
        <f>IF(C$31&lt;$A32,INDEX('Cash Flow Model'!$C$19:$L$19,C$31),IF(C$31=$A32,INDEX('Cash Flow Model'!$C$19:$L$19,C$31)+INDEX($B$6:$K$6,$A32)-INDEX($B$7:$K$7,$A32),0))</f>
        <v>3142857.6833333331</v>
      </c>
      <c r="D32" s="14">
        <f>IF(D$31&lt;$A32,INDEX('Cash Flow Model'!$C$19:$L$19,D$31),IF(D$31=$A32,INDEX('Cash Flow Model'!$C$19:$L$19,D$31)+INDEX($B$6:$K$6,$A32)-INDEX($B$7:$K$7,$A32),0))</f>
        <v>0</v>
      </c>
      <c r="E32" s="14">
        <f>IF(E$31&lt;$A32,INDEX('Cash Flow Model'!$C$19:$L$19,E$31),IF(E$31=$A32,INDEX('Cash Flow Model'!$C$19:$L$19,E$31)+INDEX($B$6:$K$6,$A32)-INDEX($B$7:$K$7,$A32),0))</f>
        <v>0</v>
      </c>
      <c r="F32" s="14">
        <f>IF(F$31&lt;$A32,INDEX('Cash Flow Model'!$C$19:$L$19,F$31),IF(F$31=$A32,INDEX('Cash Flow Model'!$C$19:$L$19,F$31)+INDEX($B$6:$K$6,$A32)-INDEX($B$7:$K$7,$A32),0))</f>
        <v>0</v>
      </c>
      <c r="G32" s="14">
        <f>IF(G$31&lt;$A32,INDEX('Cash Flow Model'!$C$19:$L$19,G$31),IF(G$31=$A32,INDEX('Cash Flow Model'!$C$19:$L$19,G$31)+INDEX($B$6:$K$6,$A32)-INDEX($B$7:$K$7,$A32),0))</f>
        <v>0</v>
      </c>
      <c r="H32" s="14">
        <f>IF(H$31&lt;$A32,INDEX('Cash Flow Model'!$C$19:$L$19,H$31),IF(H$31=$A32,INDEX('Cash Flow Model'!$C$19:$L$19,H$31)+INDEX($B$6:$K$6,$A32)-INDEX($B$7:$K$7,$A32),0))</f>
        <v>0</v>
      </c>
      <c r="I32" s="14">
        <f>IF(I$31&lt;$A32,INDEX('Cash Flow Model'!$C$19:$L$19,I$31),IF(I$31=$A32,INDEX('Cash Flow Model'!$C$19:$L$19,I$31)+INDEX($B$6:$K$6,$A32)-INDEX($B$7:$K$7,$A32),0))</f>
        <v>0</v>
      </c>
      <c r="J32" s="14">
        <f>IF(J$31&lt;$A32,INDEX('Cash Flow Model'!$C$19:$L$19,J$31),IF(J$31=$A32,INDEX('Cash Flow Model'!$C$19:$L$19,J$31)+INDEX($B$6:$K$6,$A32)-INDEX($B$7:$K$7,$A32),0))</f>
        <v>0</v>
      </c>
      <c r="K32" s="14">
        <f>IF(K$31&lt;$A32,INDEX('Cash Flow Model'!$C$19:$L$19,K$31),IF(K$31=$A32,INDEX('Cash Flow Model'!$C$19:$L$19,K$31)+INDEX($B$6:$K$6,$A32)-INDEX($B$7:$K$7,$A32),0))</f>
        <v>0</v>
      </c>
      <c r="L32" s="14">
        <f>IF(L$31&lt;$A32,INDEX('Cash Flow Model'!$C$19:$L$19,L$31),IF(L$31=$A32,INDEX('Cash Flow Model'!$C$19:$L$19,L$31)+INDEX($B$6:$K$6,$A32)-INDEX($B$7:$K$7,$A32),0))</f>
        <v>0</v>
      </c>
    </row>
    <row r="33" spans="1:12" ht="15" customHeight="1" x14ac:dyDescent="0.25">
      <c r="A33" s="39">
        <v>2</v>
      </c>
      <c r="B33" s="14">
        <f>-'Cash Flow Model'!$E$6</f>
        <v>-1735250.2640758294</v>
      </c>
      <c r="C33" s="14">
        <f>IF(C$31&lt;$A33,INDEX('Cash Flow Model'!$C$19:$L$19,C$31),IF(C$31=$A33,INDEX('Cash Flow Model'!$C$19:$L$19,C$31)+INDEX($B$6:$K$6,$A33)-INDEX($B$7:$K$7,$A33),0))</f>
        <v>181318.71249999999</v>
      </c>
      <c r="D33" s="14">
        <f>IF(D$31&lt;$A33,INDEX('Cash Flow Model'!$C$19:$L$19,D$31),IF(D$31=$A33,INDEX('Cash Flow Model'!$C$19:$L$19,D$31)+INDEX($B$6:$K$6,$A33)-INDEX($B$7:$K$7,$A33),0))</f>
        <v>3267187.6072333325</v>
      </c>
      <c r="E33" s="14">
        <f>IF(E$31&lt;$A33,INDEX('Cash Flow Model'!$C$19:$L$19,E$31),IF(E$31=$A33,INDEX('Cash Flow Model'!$C$19:$L$19,E$31)+INDEX($B$6:$K$6,$A33)-INDEX($B$7:$K$7,$A33),0))</f>
        <v>0</v>
      </c>
      <c r="F33" s="14">
        <f>IF(F$31&lt;$A33,INDEX('Cash Flow Model'!$C$19:$L$19,F$31),IF(F$31=$A33,INDEX('Cash Flow Model'!$C$19:$L$19,F$31)+INDEX($B$6:$K$6,$A33)-INDEX($B$7:$K$7,$A33),0))</f>
        <v>0</v>
      </c>
      <c r="G33" s="14">
        <f>IF(G$31&lt;$A33,INDEX('Cash Flow Model'!$C$19:$L$19,G$31),IF(G$31=$A33,INDEX('Cash Flow Model'!$C$19:$L$19,G$31)+INDEX($B$6:$K$6,$A33)-INDEX($B$7:$K$7,$A33),0))</f>
        <v>0</v>
      </c>
      <c r="H33" s="14">
        <f>IF(H$31&lt;$A33,INDEX('Cash Flow Model'!$C$19:$L$19,H$31),IF(H$31=$A33,INDEX('Cash Flow Model'!$C$19:$L$19,H$31)+INDEX($B$6:$K$6,$A33)-INDEX($B$7:$K$7,$A33),0))</f>
        <v>0</v>
      </c>
      <c r="I33" s="14">
        <f>IF(I$31&lt;$A33,INDEX('Cash Flow Model'!$C$19:$L$19,I$31),IF(I$31=$A33,INDEX('Cash Flow Model'!$C$19:$L$19,I$31)+INDEX($B$6:$K$6,$A33)-INDEX($B$7:$K$7,$A33),0))</f>
        <v>0</v>
      </c>
      <c r="J33" s="14">
        <f>IF(J$31&lt;$A33,INDEX('Cash Flow Model'!$C$19:$L$19,J$31),IF(J$31=$A33,INDEX('Cash Flow Model'!$C$19:$L$19,J$31)+INDEX($B$6:$K$6,$A33)-INDEX($B$7:$K$7,$A33),0))</f>
        <v>0</v>
      </c>
      <c r="K33" s="14">
        <f>IF(K$31&lt;$A33,INDEX('Cash Flow Model'!$C$19:$L$19,K$31),IF(K$31=$A33,INDEX('Cash Flow Model'!$C$19:$L$19,K$31)+INDEX($B$6:$K$6,$A33)-INDEX($B$7:$K$7,$A33),0))</f>
        <v>0</v>
      </c>
      <c r="L33" s="14">
        <f>IF(L$31&lt;$A33,INDEX('Cash Flow Model'!$C$19:$L$19,L$31),IF(L$31=$A33,INDEX('Cash Flow Model'!$C$19:$L$19,L$31)+INDEX($B$6:$K$6,$A33)-INDEX($B$7:$K$7,$A33),0))</f>
        <v>0</v>
      </c>
    </row>
    <row r="34" spans="1:12" ht="15" customHeight="1" x14ac:dyDescent="0.25">
      <c r="A34" s="39">
        <v>3</v>
      </c>
      <c r="B34" s="14">
        <f>-'Cash Flow Model'!$E$6</f>
        <v>-1735250.2640758294</v>
      </c>
      <c r="C34" s="14">
        <f>IF(C$31&lt;$A34,INDEX('Cash Flow Model'!$C$19:$L$19,C$31),IF(C$31=$A34,INDEX('Cash Flow Model'!$C$19:$L$19,C$31)+INDEX($B$6:$K$6,$A34)-INDEX($B$7:$K$7,$A34),0))</f>
        <v>181318.71249999999</v>
      </c>
      <c r="D34" s="14">
        <f>IF(D$31&lt;$A34,INDEX('Cash Flow Model'!$C$19:$L$19,D$31),IF(D$31=$A34,INDEX('Cash Flow Model'!$C$19:$L$19,D$31)+INDEX($B$6:$K$6,$A34)-INDEX($B$7:$K$7,$A34),0))</f>
        <v>188491.59272499994</v>
      </c>
      <c r="E34" s="14">
        <f>IF(E$31&lt;$A34,INDEX('Cash Flow Model'!$C$19:$L$19,E$31),IF(E$31=$A34,INDEX('Cash Flow Model'!$C$19:$L$19,E$31)+INDEX($B$6:$K$6,$A34)-INDEX($B$7:$K$7,$A34),0))</f>
        <v>3399432.2667803336</v>
      </c>
      <c r="F34" s="14">
        <f>IF(F$31&lt;$A34,INDEX('Cash Flow Model'!$C$19:$L$19,F$31),IF(F$31=$A34,INDEX('Cash Flow Model'!$C$19:$L$19,F$31)+INDEX($B$6:$K$6,$A34)-INDEX($B$7:$K$7,$A34),0))</f>
        <v>0</v>
      </c>
      <c r="G34" s="14">
        <f>IF(G$31&lt;$A34,INDEX('Cash Flow Model'!$C$19:$L$19,G$31),IF(G$31=$A34,INDEX('Cash Flow Model'!$C$19:$L$19,G$31)+INDEX($B$6:$K$6,$A34)-INDEX($B$7:$K$7,$A34),0))</f>
        <v>0</v>
      </c>
      <c r="H34" s="14">
        <f>IF(H$31&lt;$A34,INDEX('Cash Flow Model'!$C$19:$L$19,H$31),IF(H$31=$A34,INDEX('Cash Flow Model'!$C$19:$L$19,H$31)+INDEX($B$6:$K$6,$A34)-INDEX($B$7:$K$7,$A34),0))</f>
        <v>0</v>
      </c>
      <c r="I34" s="14">
        <f>IF(I$31&lt;$A34,INDEX('Cash Flow Model'!$C$19:$L$19,I$31),IF(I$31=$A34,INDEX('Cash Flow Model'!$C$19:$L$19,I$31)+INDEX($B$6:$K$6,$A34)-INDEX($B$7:$K$7,$A34),0))</f>
        <v>0</v>
      </c>
      <c r="J34" s="14">
        <f>IF(J$31&lt;$A34,INDEX('Cash Flow Model'!$C$19:$L$19,J$31),IF(J$31=$A34,INDEX('Cash Flow Model'!$C$19:$L$19,J$31)+INDEX($B$6:$K$6,$A34)-INDEX($B$7:$K$7,$A34),0))</f>
        <v>0</v>
      </c>
      <c r="K34" s="14">
        <f>IF(K$31&lt;$A34,INDEX('Cash Flow Model'!$C$19:$L$19,K$31),IF(K$31=$A34,INDEX('Cash Flow Model'!$C$19:$L$19,K$31)+INDEX($B$6:$K$6,$A34)-INDEX($B$7:$K$7,$A34),0))</f>
        <v>0</v>
      </c>
      <c r="L34" s="14">
        <f>IF(L$31&lt;$A34,INDEX('Cash Flow Model'!$C$19:$L$19,L$31),IF(L$31=$A34,INDEX('Cash Flow Model'!$C$19:$L$19,L$31)+INDEX($B$6:$K$6,$A34)-INDEX($B$7:$K$7,$A34),0))</f>
        <v>0</v>
      </c>
    </row>
    <row r="35" spans="1:12" ht="15" customHeight="1" x14ac:dyDescent="0.25">
      <c r="A35" s="39">
        <v>4</v>
      </c>
      <c r="B35" s="14">
        <f>-'Cash Flow Model'!$E$6</f>
        <v>-1735250.2640758294</v>
      </c>
      <c r="C35" s="14">
        <f>IF(C$31&lt;$A35,INDEX('Cash Flow Model'!$C$19:$L$19,C$31),IF(C$31=$A35,INDEX('Cash Flow Model'!$C$19:$L$19,C$31)+INDEX($B$6:$K$6,$A35)-INDEX($B$7:$K$7,$A35),0))</f>
        <v>181318.71249999999</v>
      </c>
      <c r="D35" s="14">
        <f>IF(D$31&lt;$A35,INDEX('Cash Flow Model'!$C$19:$L$19,D$31),IF(D$31=$A35,INDEX('Cash Flow Model'!$C$19:$L$19,D$31)+INDEX($B$6:$K$6,$A35)-INDEX($B$7:$K$7,$A35),0))</f>
        <v>188491.59272499994</v>
      </c>
      <c r="E35" s="14">
        <f>IF(E$31&lt;$A35,INDEX('Cash Flow Model'!$C$19:$L$19,E$31),IF(E$31=$A35,INDEX('Cash Flow Model'!$C$19:$L$19,E$31)+INDEX($B$6:$K$6,$A35)-INDEX($B$7:$K$7,$A35),0))</f>
        <v>196121.09231425001</v>
      </c>
      <c r="F35" s="14">
        <f>IF(F$31&lt;$A35,INDEX('Cash Flow Model'!$C$19:$L$19,F$31),IF(F$31=$A35,INDEX('Cash Flow Model'!$C$19:$L$19,F$31)+INDEX($B$6:$K$6,$A35)-INDEX($B$7:$K$7,$A35),0))</f>
        <v>3540056.8501532436</v>
      </c>
      <c r="G35" s="14">
        <f>IF(G$31&lt;$A35,INDEX('Cash Flow Model'!$C$19:$L$19,G$31),IF(G$31=$A35,INDEX('Cash Flow Model'!$C$19:$L$19,G$31)+INDEX($B$6:$K$6,$A35)-INDEX($B$7:$K$7,$A35),0))</f>
        <v>0</v>
      </c>
      <c r="H35" s="14">
        <f>IF(H$31&lt;$A35,INDEX('Cash Flow Model'!$C$19:$L$19,H$31),IF(H$31=$A35,INDEX('Cash Flow Model'!$C$19:$L$19,H$31)+INDEX($B$6:$K$6,$A35)-INDEX($B$7:$K$7,$A35),0))</f>
        <v>0</v>
      </c>
      <c r="I35" s="14">
        <f>IF(I$31&lt;$A35,INDEX('Cash Flow Model'!$C$19:$L$19,I$31),IF(I$31=$A35,INDEX('Cash Flow Model'!$C$19:$L$19,I$31)+INDEX($B$6:$K$6,$A35)-INDEX($B$7:$K$7,$A35),0))</f>
        <v>0</v>
      </c>
      <c r="J35" s="14">
        <f>IF(J$31&lt;$A35,INDEX('Cash Flow Model'!$C$19:$L$19,J$31),IF(J$31=$A35,INDEX('Cash Flow Model'!$C$19:$L$19,J$31)+INDEX($B$6:$K$6,$A35)-INDEX($B$7:$K$7,$A35),0))</f>
        <v>0</v>
      </c>
      <c r="K35" s="14">
        <f>IF(K$31&lt;$A35,INDEX('Cash Flow Model'!$C$19:$L$19,K$31),IF(K$31=$A35,INDEX('Cash Flow Model'!$C$19:$L$19,K$31)+INDEX($B$6:$K$6,$A35)-INDEX($B$7:$K$7,$A35),0))</f>
        <v>0</v>
      </c>
      <c r="L35" s="14">
        <f>IF(L$31&lt;$A35,INDEX('Cash Flow Model'!$C$19:$L$19,L$31),IF(L$31=$A35,INDEX('Cash Flow Model'!$C$19:$L$19,L$31)+INDEX($B$6:$K$6,$A35)-INDEX($B$7:$K$7,$A35),0))</f>
        <v>0</v>
      </c>
    </row>
    <row r="36" spans="1:12" ht="15" customHeight="1" x14ac:dyDescent="0.25">
      <c r="A36" s="39">
        <v>5</v>
      </c>
      <c r="B36" s="14">
        <f>-'Cash Flow Model'!$E$6</f>
        <v>-1735250.2640758294</v>
      </c>
      <c r="C36" s="14">
        <f>IF(C$31&lt;$A36,INDEX('Cash Flow Model'!$C$19:$L$19,C$31),IF(C$31=$A36,INDEX('Cash Flow Model'!$C$19:$L$19,C$31)+INDEX($B$6:$K$6,$A36)-INDEX($B$7:$K$7,$A36),0))</f>
        <v>181318.71249999999</v>
      </c>
      <c r="D36" s="14">
        <f>IF(D$31&lt;$A36,INDEX('Cash Flow Model'!$C$19:$L$19,D$31),IF(D$31=$A36,INDEX('Cash Flow Model'!$C$19:$L$19,D$31)+INDEX($B$6:$K$6,$A36)-INDEX($B$7:$K$7,$A36),0))</f>
        <v>188491.59272499994</v>
      </c>
      <c r="E36" s="14">
        <f>IF(E$31&lt;$A36,INDEX('Cash Flow Model'!$C$19:$L$19,E$31),IF(E$31=$A36,INDEX('Cash Flow Model'!$C$19:$L$19,E$31)+INDEX($B$6:$K$6,$A36)-INDEX($B$7:$K$7,$A36),0))</f>
        <v>196121.09231425001</v>
      </c>
      <c r="F36" s="14">
        <f>IF(F$31&lt;$A36,INDEX('Cash Flow Model'!$C$19:$L$19,F$31),IF(F$31=$A36,INDEX('Cash Flow Model'!$C$19:$L$19,F$31)+INDEX($B$6:$K$6,$A36)-INDEX($B$7:$K$7,$A36),0))</f>
        <v>204234.04904730251</v>
      </c>
      <c r="G36" s="14">
        <f>IF(G$31&lt;$A36,INDEX('Cash Flow Model'!$C$19:$L$19,G$31),IF(G$31=$A36,INDEX('Cash Flow Model'!$C$19:$L$19,G$31)+INDEX($B$6:$K$6,$A36)-INDEX($B$7:$K$7,$A36),0))</f>
        <v>3684506.1836807462</v>
      </c>
      <c r="H36" s="14">
        <f>IF(H$31&lt;$A36,INDEX('Cash Flow Model'!$C$19:$L$19,H$31),IF(H$31=$A36,INDEX('Cash Flow Model'!$C$19:$L$19,H$31)+INDEX($B$6:$K$6,$A36)-INDEX($B$7:$K$7,$A36),0))</f>
        <v>0</v>
      </c>
      <c r="I36" s="14">
        <f>IF(I$31&lt;$A36,INDEX('Cash Flow Model'!$C$19:$L$19,I$31),IF(I$31=$A36,INDEX('Cash Flow Model'!$C$19:$L$19,I$31)+INDEX($B$6:$K$6,$A36)-INDEX($B$7:$K$7,$A36),0))</f>
        <v>0</v>
      </c>
      <c r="J36" s="14">
        <f>IF(J$31&lt;$A36,INDEX('Cash Flow Model'!$C$19:$L$19,J$31),IF(J$31=$A36,INDEX('Cash Flow Model'!$C$19:$L$19,J$31)+INDEX($B$6:$K$6,$A36)-INDEX($B$7:$K$7,$A36),0))</f>
        <v>0</v>
      </c>
      <c r="K36" s="14">
        <f>IF(K$31&lt;$A36,INDEX('Cash Flow Model'!$C$19:$L$19,K$31),IF(K$31=$A36,INDEX('Cash Flow Model'!$C$19:$L$19,K$31)+INDEX($B$6:$K$6,$A36)-INDEX($B$7:$K$7,$A36),0))</f>
        <v>0</v>
      </c>
      <c r="L36" s="14">
        <f>IF(L$31&lt;$A36,INDEX('Cash Flow Model'!$C$19:$L$19,L$31),IF(L$31=$A36,INDEX('Cash Flow Model'!$C$19:$L$19,L$31)+INDEX($B$6:$K$6,$A36)-INDEX($B$7:$K$7,$A36),0))</f>
        <v>0</v>
      </c>
    </row>
    <row r="37" spans="1:12" ht="15" customHeight="1" x14ac:dyDescent="0.25">
      <c r="A37" s="39">
        <v>6</v>
      </c>
      <c r="B37" s="14">
        <f>-'Cash Flow Model'!$E$6</f>
        <v>-1735250.2640758294</v>
      </c>
      <c r="C37" s="14">
        <f>IF(C$31&lt;$A37,INDEX('Cash Flow Model'!$C$19:$L$19,C$31),IF(C$31=$A37,INDEX('Cash Flow Model'!$C$19:$L$19,C$31)+INDEX($B$6:$K$6,$A37)-INDEX($B$7:$K$7,$A37),0))</f>
        <v>181318.71249999999</v>
      </c>
      <c r="D37" s="14">
        <f>IF(D$31&lt;$A37,INDEX('Cash Flow Model'!$C$19:$L$19,D$31),IF(D$31=$A37,INDEX('Cash Flow Model'!$C$19:$L$19,D$31)+INDEX($B$6:$K$6,$A37)-INDEX($B$7:$K$7,$A37),0))</f>
        <v>188491.59272499994</v>
      </c>
      <c r="E37" s="14">
        <f>IF(E$31&lt;$A37,INDEX('Cash Flow Model'!$C$19:$L$19,E$31),IF(E$31=$A37,INDEX('Cash Flow Model'!$C$19:$L$19,E$31)+INDEX($B$6:$K$6,$A37)-INDEX($B$7:$K$7,$A37),0))</f>
        <v>196121.09231425001</v>
      </c>
      <c r="F37" s="14">
        <f>IF(F$31&lt;$A37,INDEX('Cash Flow Model'!$C$19:$L$19,F$31),IF(F$31=$A37,INDEX('Cash Flow Model'!$C$19:$L$19,F$31)+INDEX($B$6:$K$6,$A37)-INDEX($B$7:$K$7,$A37),0))</f>
        <v>204234.04904730251</v>
      </c>
      <c r="G37" s="14">
        <f>IF(G$31&lt;$A37,INDEX('Cash Flow Model'!$C$19:$L$19,G$31),IF(G$31=$A37,INDEX('Cash Flow Model'!$C$19:$L$19,G$31)+INDEX($B$6:$K$6,$A37)-INDEX($B$7:$K$7,$A37),0))</f>
        <v>212567.66444311998</v>
      </c>
      <c r="H37" s="14">
        <f>IF(H$31&lt;$A37,INDEX('Cash Flow Model'!$C$19:$L$19,H$31),IF(H$31=$A37,INDEX('Cash Flow Model'!$C$19:$L$19,H$31)+INDEX($B$6:$K$6,$A37)-INDEX($B$7:$K$7,$A37),0))</f>
        <v>3832542.4472941649</v>
      </c>
      <c r="I37" s="14">
        <f>IF(I$31&lt;$A37,INDEX('Cash Flow Model'!$C$19:$L$19,I$31),IF(I$31=$A37,INDEX('Cash Flow Model'!$C$19:$L$19,I$31)+INDEX($B$6:$K$6,$A37)-INDEX($B$7:$K$7,$A37),0))</f>
        <v>0</v>
      </c>
      <c r="J37" s="14">
        <f>IF(J$31&lt;$A37,INDEX('Cash Flow Model'!$C$19:$L$19,J$31),IF(J$31=$A37,INDEX('Cash Flow Model'!$C$19:$L$19,J$31)+INDEX($B$6:$K$6,$A37)-INDEX($B$7:$K$7,$A37),0))</f>
        <v>0</v>
      </c>
      <c r="K37" s="14">
        <f>IF(K$31&lt;$A37,INDEX('Cash Flow Model'!$C$19:$L$19,K$31),IF(K$31=$A37,INDEX('Cash Flow Model'!$C$19:$L$19,K$31)+INDEX($B$6:$K$6,$A37)-INDEX($B$7:$K$7,$A37),0))</f>
        <v>0</v>
      </c>
      <c r="L37" s="14">
        <f>IF(L$31&lt;$A37,INDEX('Cash Flow Model'!$C$19:$L$19,L$31),IF(L$31=$A37,INDEX('Cash Flow Model'!$C$19:$L$19,L$31)+INDEX($B$6:$K$6,$A37)-INDEX($B$7:$K$7,$A37),0))</f>
        <v>0</v>
      </c>
    </row>
    <row r="38" spans="1:12" ht="15" customHeight="1" x14ac:dyDescent="0.25">
      <c r="A38" s="39">
        <v>7</v>
      </c>
      <c r="B38" s="14">
        <f>-'Cash Flow Model'!$E$6</f>
        <v>-1735250.2640758294</v>
      </c>
      <c r="C38" s="14">
        <f>IF(C$31&lt;$A38,INDEX('Cash Flow Model'!$C$19:$L$19,C$31),IF(C$31=$A38,INDEX('Cash Flow Model'!$C$19:$L$19,C$31)+INDEX($B$6:$K$6,$A38)-INDEX($B$7:$K$7,$A38),0))</f>
        <v>181318.71249999999</v>
      </c>
      <c r="D38" s="14">
        <f>IF(D$31&lt;$A38,INDEX('Cash Flow Model'!$C$19:$L$19,D$31),IF(D$31=$A38,INDEX('Cash Flow Model'!$C$19:$L$19,D$31)+INDEX($B$6:$K$6,$A38)-INDEX($B$7:$K$7,$A38),0))</f>
        <v>188491.59272499994</v>
      </c>
      <c r="E38" s="14">
        <f>IF(E$31&lt;$A38,INDEX('Cash Flow Model'!$C$19:$L$19,E$31),IF(E$31=$A38,INDEX('Cash Flow Model'!$C$19:$L$19,E$31)+INDEX($B$6:$K$6,$A38)-INDEX($B$7:$K$7,$A38),0))</f>
        <v>196121.09231425001</v>
      </c>
      <c r="F38" s="14">
        <f>IF(F$31&lt;$A38,INDEX('Cash Flow Model'!$C$19:$L$19,F$31),IF(F$31=$A38,INDEX('Cash Flow Model'!$C$19:$L$19,F$31)+INDEX($B$6:$K$6,$A38)-INDEX($B$7:$K$7,$A38),0))</f>
        <v>204234.04904730251</v>
      </c>
      <c r="G38" s="14">
        <f>IF(G$31&lt;$A38,INDEX('Cash Flow Model'!$C$19:$L$19,G$31),IF(G$31=$A38,INDEX('Cash Flow Model'!$C$19:$L$19,G$31)+INDEX($B$6:$K$6,$A38)-INDEX($B$7:$K$7,$A38),0))</f>
        <v>212567.66444311998</v>
      </c>
      <c r="H38" s="14">
        <f>IF(H$31&lt;$A38,INDEX('Cash Flow Model'!$C$19:$L$19,H$31),IF(H$31=$A38,INDEX('Cash Flow Model'!$C$19:$L$19,H$31)+INDEX($B$6:$K$6,$A38)-INDEX($B$7:$K$7,$A38),0))</f>
        <v>221108.21811312489</v>
      </c>
      <c r="I38" s="14">
        <f>IF(I$31&lt;$A38,INDEX('Cash Flow Model'!$C$19:$L$19,I$31),IF(I$31=$A38,INDEX('Cash Flow Model'!$C$19:$L$19,I$31)+INDEX($B$6:$K$6,$A38)-INDEX($B$7:$K$7,$A38),0))</f>
        <v>3989445.2779916991</v>
      </c>
      <c r="J38" s="14">
        <f>IF(J$31&lt;$A38,INDEX('Cash Flow Model'!$C$19:$L$19,J$31),IF(J$31=$A38,INDEX('Cash Flow Model'!$C$19:$L$19,J$31)+INDEX($B$6:$K$6,$A38)-INDEX($B$7:$K$7,$A38),0))</f>
        <v>0</v>
      </c>
      <c r="K38" s="14">
        <f>IF(K$31&lt;$A38,INDEX('Cash Flow Model'!$C$19:$L$19,K$31),IF(K$31=$A38,INDEX('Cash Flow Model'!$C$19:$L$19,K$31)+INDEX($B$6:$K$6,$A38)-INDEX($B$7:$K$7,$A38),0))</f>
        <v>0</v>
      </c>
      <c r="L38" s="14">
        <f>IF(L$31&lt;$A38,INDEX('Cash Flow Model'!$C$19:$L$19,L$31),IF(L$31=$A38,INDEX('Cash Flow Model'!$C$19:$L$19,L$31)+INDEX($B$6:$K$6,$A38)-INDEX($B$7:$K$7,$A38),0))</f>
        <v>0</v>
      </c>
    </row>
    <row r="39" spans="1:12" ht="15" customHeight="1" x14ac:dyDescent="0.25">
      <c r="A39" s="39">
        <v>8</v>
      </c>
      <c r="B39" s="14">
        <f>-'Cash Flow Model'!$E$6</f>
        <v>-1735250.2640758294</v>
      </c>
      <c r="C39" s="14">
        <f>IF(C$31&lt;$A39,INDEX('Cash Flow Model'!$C$19:$L$19,C$31),IF(C$31=$A39,INDEX('Cash Flow Model'!$C$19:$L$19,C$31)+INDEX($B$6:$K$6,$A39)-INDEX($B$7:$K$7,$A39),0))</f>
        <v>181318.71249999999</v>
      </c>
      <c r="D39" s="14">
        <f>IF(D$31&lt;$A39,INDEX('Cash Flow Model'!$C$19:$L$19,D$31),IF(D$31=$A39,INDEX('Cash Flow Model'!$C$19:$L$19,D$31)+INDEX($B$6:$K$6,$A39)-INDEX($B$7:$K$7,$A39),0))</f>
        <v>188491.59272499994</v>
      </c>
      <c r="E39" s="14">
        <f>IF(E$31&lt;$A39,INDEX('Cash Flow Model'!$C$19:$L$19,E$31),IF(E$31=$A39,INDEX('Cash Flow Model'!$C$19:$L$19,E$31)+INDEX($B$6:$K$6,$A39)-INDEX($B$7:$K$7,$A39),0))</f>
        <v>196121.09231425001</v>
      </c>
      <c r="F39" s="14">
        <f>IF(F$31&lt;$A39,INDEX('Cash Flow Model'!$C$19:$L$19,F$31),IF(F$31=$A39,INDEX('Cash Flow Model'!$C$19:$L$19,F$31)+INDEX($B$6:$K$6,$A39)-INDEX($B$7:$K$7,$A39),0))</f>
        <v>204234.04904730251</v>
      </c>
      <c r="G39" s="14">
        <f>IF(G$31&lt;$A39,INDEX('Cash Flow Model'!$C$19:$L$19,G$31),IF(G$31=$A39,INDEX('Cash Flow Model'!$C$19:$L$19,G$31)+INDEX($B$6:$K$6,$A39)-INDEX($B$7:$K$7,$A39),0))</f>
        <v>212567.66444311998</v>
      </c>
      <c r="H39" s="14">
        <f>IF(H$31&lt;$A39,INDEX('Cash Flow Model'!$C$19:$L$19,H$31),IF(H$31=$A39,INDEX('Cash Flow Model'!$C$19:$L$19,H$31)+INDEX($B$6:$K$6,$A39)-INDEX($B$7:$K$7,$A39),0))</f>
        <v>221108.21811312489</v>
      </c>
      <c r="I39" s="14">
        <f>IF(I$31&lt;$A39,INDEX('Cash Flow Model'!$C$19:$L$19,I$31),IF(I$31=$A39,INDEX('Cash Flow Model'!$C$19:$L$19,I$31)+INDEX($B$6:$K$6,$A39)-INDEX($B$7:$K$7,$A39),0))</f>
        <v>230160.30449952109</v>
      </c>
      <c r="J39" s="14">
        <f>IF(J$31&lt;$A39,INDEX('Cash Flow Model'!$C$19:$L$19,J$31),IF(J$31=$A39,INDEX('Cash Flow Model'!$C$19:$L$19,J$31)+INDEX($B$6:$K$6,$A39)-INDEX($B$7:$K$7,$A39),0))</f>
        <v>4155713.8408081876</v>
      </c>
      <c r="K39" s="14">
        <f>IF(K$31&lt;$A39,INDEX('Cash Flow Model'!$C$19:$L$19,K$31),IF(K$31=$A39,INDEX('Cash Flow Model'!$C$19:$L$19,K$31)+INDEX($B$6:$K$6,$A39)-INDEX($B$7:$K$7,$A39),0))</f>
        <v>0</v>
      </c>
      <c r="L39" s="14">
        <f>IF(L$31&lt;$A39,INDEX('Cash Flow Model'!$C$19:$L$19,L$31),IF(L$31=$A39,INDEX('Cash Flow Model'!$C$19:$L$19,L$31)+INDEX($B$6:$K$6,$A39)-INDEX($B$7:$K$7,$A39),0))</f>
        <v>0</v>
      </c>
    </row>
    <row r="40" spans="1:12" ht="15" customHeight="1" x14ac:dyDescent="0.25">
      <c r="A40" s="39">
        <v>9</v>
      </c>
      <c r="B40" s="14">
        <f>-'Cash Flow Model'!$E$6</f>
        <v>-1735250.2640758294</v>
      </c>
      <c r="C40" s="14">
        <f>IF(C$31&lt;$A40,INDEX('Cash Flow Model'!$C$19:$L$19,C$31),IF(C$31=$A40,INDEX('Cash Flow Model'!$C$19:$L$19,C$31)+INDEX($B$6:$K$6,$A40)-INDEX($B$7:$K$7,$A40),0))</f>
        <v>181318.71249999999</v>
      </c>
      <c r="D40" s="14">
        <f>IF(D$31&lt;$A40,INDEX('Cash Flow Model'!$C$19:$L$19,D$31),IF(D$31=$A40,INDEX('Cash Flow Model'!$C$19:$L$19,D$31)+INDEX($B$6:$K$6,$A40)-INDEX($B$7:$K$7,$A40),0))</f>
        <v>188491.59272499994</v>
      </c>
      <c r="E40" s="14">
        <f>IF(E$31&lt;$A40,INDEX('Cash Flow Model'!$C$19:$L$19,E$31),IF(E$31=$A40,INDEX('Cash Flow Model'!$C$19:$L$19,E$31)+INDEX($B$6:$K$6,$A40)-INDEX($B$7:$K$7,$A40),0))</f>
        <v>196121.09231425001</v>
      </c>
      <c r="F40" s="14">
        <f>IF(F$31&lt;$A40,INDEX('Cash Flow Model'!$C$19:$L$19,F$31),IF(F$31=$A40,INDEX('Cash Flow Model'!$C$19:$L$19,F$31)+INDEX($B$6:$K$6,$A40)-INDEX($B$7:$K$7,$A40),0))</f>
        <v>204234.04904730251</v>
      </c>
      <c r="G40" s="14">
        <f>IF(G$31&lt;$A40,INDEX('Cash Flow Model'!$C$19:$L$19,G$31),IF(G$31=$A40,INDEX('Cash Flow Model'!$C$19:$L$19,G$31)+INDEX($B$6:$K$6,$A40)-INDEX($B$7:$K$7,$A40),0))</f>
        <v>212567.66444311998</v>
      </c>
      <c r="H40" s="14">
        <f>IF(H$31&lt;$A40,INDEX('Cash Flow Model'!$C$19:$L$19,H$31),IF(H$31=$A40,INDEX('Cash Flow Model'!$C$19:$L$19,H$31)+INDEX($B$6:$K$6,$A40)-INDEX($B$7:$K$7,$A40),0))</f>
        <v>221108.21811312489</v>
      </c>
      <c r="I40" s="14">
        <f>IF(I$31&lt;$A40,INDEX('Cash Flow Model'!$C$19:$L$19,I$31),IF(I$31=$A40,INDEX('Cash Flow Model'!$C$19:$L$19,I$31)+INDEX($B$6:$K$6,$A40)-INDEX($B$7:$K$7,$A40),0))</f>
        <v>230160.30449952109</v>
      </c>
      <c r="J40" s="14">
        <f>IF(J$31&lt;$A40,INDEX('Cash Flow Model'!$C$19:$L$19,J$31),IF(J$31=$A40,INDEX('Cash Flow Model'!$C$19:$L$19,J$31)+INDEX($B$6:$K$6,$A40)-INDEX($B$7:$K$7,$A40),0))</f>
        <v>239752.72158508771</v>
      </c>
      <c r="K40" s="14">
        <f>IF(K$31&lt;$A40,INDEX('Cash Flow Model'!$C$19:$L$19,K$31),IF(K$31=$A40,INDEX('Cash Flow Model'!$C$19:$L$19,K$31)+INDEX($B$6:$K$6,$A40)-INDEX($B$7:$K$7,$A40),0))</f>
        <v>4331874.5288338047</v>
      </c>
      <c r="L40" s="14">
        <f>IF(L$31&lt;$A40,INDEX('Cash Flow Model'!$C$19:$L$19,L$31),IF(L$31=$A40,INDEX('Cash Flow Model'!$C$19:$L$19,L$31)+INDEX($B$6:$K$6,$A40)-INDEX($B$7:$K$7,$A40),0))</f>
        <v>0</v>
      </c>
    </row>
    <row r="41" spans="1:12" ht="15" customHeight="1" x14ac:dyDescent="0.25">
      <c r="A41" s="39">
        <v>10</v>
      </c>
      <c r="B41" s="14">
        <f>-'Cash Flow Model'!$E$6</f>
        <v>-1735250.2640758294</v>
      </c>
      <c r="C41" s="14">
        <f>IF(C$31&lt;$A41,INDEX('Cash Flow Model'!$C$19:$L$19,C$31),IF(C$31=$A41,INDEX('Cash Flow Model'!$C$19:$L$19,C$31)+INDEX($B$6:$K$6,$A41)-INDEX($B$7:$K$7,$A41),0))</f>
        <v>181318.71249999999</v>
      </c>
      <c r="D41" s="14">
        <f>IF(D$31&lt;$A41,INDEX('Cash Flow Model'!$C$19:$L$19,D$31),IF(D$31=$A41,INDEX('Cash Flow Model'!$C$19:$L$19,D$31)+INDEX($B$6:$K$6,$A41)-INDEX($B$7:$K$7,$A41),0))</f>
        <v>188491.59272499994</v>
      </c>
      <c r="E41" s="14">
        <f>IF(E$31&lt;$A41,INDEX('Cash Flow Model'!$C$19:$L$19,E$31),IF(E$31=$A41,INDEX('Cash Flow Model'!$C$19:$L$19,E$31)+INDEX($B$6:$K$6,$A41)-INDEX($B$7:$K$7,$A41),0))</f>
        <v>196121.09231425001</v>
      </c>
      <c r="F41" s="14">
        <f>IF(F$31&lt;$A41,INDEX('Cash Flow Model'!$C$19:$L$19,F$31),IF(F$31=$A41,INDEX('Cash Flow Model'!$C$19:$L$19,F$31)+INDEX($B$6:$K$6,$A41)-INDEX($B$7:$K$7,$A41),0))</f>
        <v>204234.04904730251</v>
      </c>
      <c r="G41" s="14">
        <f>IF(G$31&lt;$A41,INDEX('Cash Flow Model'!$C$19:$L$19,G$31),IF(G$31=$A41,INDEX('Cash Flow Model'!$C$19:$L$19,G$31)+INDEX($B$6:$K$6,$A41)-INDEX($B$7:$K$7,$A41),0))</f>
        <v>212567.66444311998</v>
      </c>
      <c r="H41" s="14">
        <f>IF(H$31&lt;$A41,INDEX('Cash Flow Model'!$C$19:$L$19,H$31),IF(H$31=$A41,INDEX('Cash Flow Model'!$C$19:$L$19,H$31)+INDEX($B$6:$K$6,$A41)-INDEX($B$7:$K$7,$A41),0))</f>
        <v>221108.21811312489</v>
      </c>
      <c r="I41" s="14">
        <f>IF(I$31&lt;$A41,INDEX('Cash Flow Model'!$C$19:$L$19,I$31),IF(I$31=$A41,INDEX('Cash Flow Model'!$C$19:$L$19,I$31)+INDEX($B$6:$K$6,$A41)-INDEX($B$7:$K$7,$A41),0))</f>
        <v>230160.30449952109</v>
      </c>
      <c r="J41" s="14">
        <f>IF(J$31&lt;$A41,INDEX('Cash Flow Model'!$C$19:$L$19,J$31),IF(J$31=$A41,INDEX('Cash Flow Model'!$C$19:$L$19,J$31)+INDEX($B$6:$K$6,$A41)-INDEX($B$7:$K$7,$A41),0))</f>
        <v>239752.72158508771</v>
      </c>
      <c r="K41" s="14">
        <f>IF(K$31&lt;$A41,INDEX('Cash Flow Model'!$C$19:$L$19,K$31),IF(K$31=$A41,INDEX('Cash Flow Model'!$C$19:$L$19,K$31)+INDEX($B$6:$K$6,$A41)-INDEX($B$7:$K$7,$A41),0))</f>
        <v>249915.8382019503</v>
      </c>
      <c r="L41" s="14">
        <f>IF(L$31&lt;$A41,INDEX('Cash Flow Model'!$C$19:$L$19,L$31),IF(L$31=$A41,INDEX('Cash Flow Model'!$C$19:$L$19,L$31)+INDEX($B$6:$K$6,$A41)-INDEX($B$7:$K$7,$A41),0))</f>
        <v>4518482.4224460963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5"/>
  <sheetViews>
    <sheetView showGridLines="0" zoomScaleNormal="100" workbookViewId="0">
      <selection activeCell="B11" sqref="B11"/>
    </sheetView>
  </sheetViews>
  <sheetFormatPr defaultColWidth="8.7109375" defaultRowHeight="15" x14ac:dyDescent="0.25"/>
  <cols>
    <col min="1" max="1" width="26" customWidth="1"/>
    <col min="2" max="12" width="13" customWidth="1"/>
  </cols>
  <sheetData>
    <row r="1" spans="1:12" ht="18" customHeight="1" x14ac:dyDescent="0.3">
      <c r="A1" s="1" t="s">
        <v>171</v>
      </c>
    </row>
    <row r="3" spans="1:12" ht="15" customHeight="1" x14ac:dyDescent="0.25">
      <c r="A3" s="4" t="s">
        <v>58</v>
      </c>
      <c r="B3" s="4"/>
    </row>
    <row r="4" spans="1:12" ht="15" customHeight="1" x14ac:dyDescent="0.25">
      <c r="A4" s="2" t="s">
        <v>172</v>
      </c>
      <c r="B4" s="22">
        <f>'BOV '!B21</f>
        <v>1214675.1848530804</v>
      </c>
    </row>
    <row r="5" spans="1:12" ht="15" customHeight="1" x14ac:dyDescent="0.25">
      <c r="A5" s="2" t="s">
        <v>173</v>
      </c>
      <c r="B5" s="27">
        <f>'BOV '!B22</f>
        <v>7.0230000000000001E-2</v>
      </c>
    </row>
    <row r="6" spans="1:12" ht="15" customHeight="1" x14ac:dyDescent="0.25">
      <c r="A6" s="2" t="s">
        <v>65</v>
      </c>
      <c r="B6" s="12">
        <f>'BOV '!B36</f>
        <v>30</v>
      </c>
    </row>
    <row r="7" spans="1:12" ht="15" customHeight="1" x14ac:dyDescent="0.25">
      <c r="A7" s="2" t="s">
        <v>174</v>
      </c>
      <c r="B7" s="14">
        <f>PMT(B5,B6,-B4)</f>
        <v>98112.56485409844</v>
      </c>
    </row>
    <row r="8" spans="1:12" ht="15" customHeight="1" x14ac:dyDescent="0.25">
      <c r="A8" s="2" t="s">
        <v>175</v>
      </c>
      <c r="B8" s="12">
        <f>'BOV '!B37</f>
        <v>0</v>
      </c>
    </row>
    <row r="9" spans="1:12" ht="15" customHeight="1" x14ac:dyDescent="0.25">
      <c r="A9" s="10" t="s">
        <v>176</v>
      </c>
      <c r="B9" s="10" t="s">
        <v>70</v>
      </c>
      <c r="C9" s="10" t="s">
        <v>71</v>
      </c>
      <c r="D9" s="10" t="s">
        <v>72</v>
      </c>
      <c r="E9" s="10" t="s">
        <v>73</v>
      </c>
      <c r="F9" s="10" t="s">
        <v>74</v>
      </c>
      <c r="G9" s="10" t="s">
        <v>75</v>
      </c>
      <c r="H9" s="10" t="s">
        <v>76</v>
      </c>
      <c r="I9" s="10" t="s">
        <v>77</v>
      </c>
      <c r="J9" s="10" t="s">
        <v>78</v>
      </c>
      <c r="K9" s="10" t="s">
        <v>79</v>
      </c>
      <c r="L9" s="10" t="s">
        <v>20</v>
      </c>
    </row>
    <row r="10" spans="1:12" ht="15" customHeight="1" x14ac:dyDescent="0.25">
      <c r="A10" s="2" t="s">
        <v>177</v>
      </c>
      <c r="B10" s="14">
        <f>B4</f>
        <v>1214675.1848530804</v>
      </c>
      <c r="C10" s="14">
        <f t="shared" ref="C10:K10" si="0">B14</f>
        <v>1201869.2582312138</v>
      </c>
      <c r="D10" s="14">
        <f t="shared" si="0"/>
        <v>1188163.9713826934</v>
      </c>
      <c r="E10" s="14">
        <f t="shared" si="0"/>
        <v>1173496.1622388016</v>
      </c>
      <c r="F10" s="14">
        <f t="shared" si="0"/>
        <v>1157798.2328587342</v>
      </c>
      <c r="G10" s="14">
        <f t="shared" si="0"/>
        <v>1140997.8378983047</v>
      </c>
      <c r="H10" s="14">
        <f t="shared" si="0"/>
        <v>1123017.5511998043</v>
      </c>
      <c r="I10" s="14">
        <f t="shared" si="0"/>
        <v>1103774.508966468</v>
      </c>
      <c r="J10" s="14">
        <f t="shared" si="0"/>
        <v>1083180.0278770847</v>
      </c>
      <c r="K10" s="14">
        <f t="shared" si="0"/>
        <v>1061139.1963807938</v>
      </c>
    </row>
    <row r="11" spans="1:12" ht="15" customHeight="1" x14ac:dyDescent="0.25">
      <c r="A11" s="2" t="s">
        <v>178</v>
      </c>
      <c r="B11" s="14">
        <f>IF(COLUMNS($B$9:B$9)&lt;=$B$8,B10*$B$5,$B$7)</f>
        <v>98112.56485409844</v>
      </c>
      <c r="C11" s="14">
        <f>IF(COLUMNS($B$9:C$9)&lt;=$B$8,C10*$B$5,$B$7)</f>
        <v>98112.56485409844</v>
      </c>
      <c r="D11" s="14">
        <f>IF(COLUMNS($B$9:D$9)&lt;=$B$8,D10*$B$5,$B$7)</f>
        <v>98112.56485409844</v>
      </c>
      <c r="E11" s="14">
        <f>IF(COLUMNS($B$9:E$9)&lt;=$B$8,E10*$B$5,$B$7)</f>
        <v>98112.56485409844</v>
      </c>
      <c r="F11" s="14">
        <f>IF(COLUMNS($B$9:F$9)&lt;=$B$8,F10*$B$5,$B$7)</f>
        <v>98112.56485409844</v>
      </c>
      <c r="G11" s="14">
        <f>IF(COLUMNS($B$9:G$9)&lt;=$B$8,G10*$B$5,$B$7)</f>
        <v>98112.56485409844</v>
      </c>
      <c r="H11" s="14">
        <f>IF(COLUMNS($B$9:H$9)&lt;=$B$8,H10*$B$5,$B$7)</f>
        <v>98112.56485409844</v>
      </c>
      <c r="I11" s="14">
        <f>IF(COLUMNS($B$9:I$9)&lt;=$B$8,I10*$B$5,$B$7)</f>
        <v>98112.56485409844</v>
      </c>
      <c r="J11" s="14">
        <f>IF(COLUMNS($B$9:J$9)&lt;=$B$8,J10*$B$5,$B$7)</f>
        <v>98112.56485409844</v>
      </c>
      <c r="K11" s="14">
        <f>IF(COLUMNS($B$9:K$9)&lt;=$B$8,K10*$B$5,$B$7)</f>
        <v>98112.56485409844</v>
      </c>
      <c r="L11" s="9">
        <f>SUM(B11:K11)</f>
        <v>981125.64854098461</v>
      </c>
    </row>
    <row r="12" spans="1:12" ht="15" customHeight="1" x14ac:dyDescent="0.25">
      <c r="A12" s="2" t="s">
        <v>89</v>
      </c>
      <c r="B12" s="14">
        <f t="shared" ref="B12:K12" si="1">B10*$B$5</f>
        <v>85306.638232231839</v>
      </c>
      <c r="C12" s="14">
        <f t="shared" si="1"/>
        <v>84407.278005578148</v>
      </c>
      <c r="D12" s="14">
        <f t="shared" si="1"/>
        <v>83444.755710206562</v>
      </c>
      <c r="E12" s="14">
        <f t="shared" si="1"/>
        <v>82414.635474031034</v>
      </c>
      <c r="F12" s="14">
        <f t="shared" si="1"/>
        <v>81312.169893668906</v>
      </c>
      <c r="G12" s="14">
        <f t="shared" si="1"/>
        <v>80132.278155597945</v>
      </c>
      <c r="H12" s="14">
        <f t="shared" si="1"/>
        <v>78869.522620762262</v>
      </c>
      <c r="I12" s="14">
        <f t="shared" si="1"/>
        <v>77518.083764715047</v>
      </c>
      <c r="J12" s="14">
        <f t="shared" si="1"/>
        <v>76071.733357807665</v>
      </c>
      <c r="K12" s="14">
        <f t="shared" si="1"/>
        <v>74523.805761823154</v>
      </c>
      <c r="L12" s="9">
        <f>SUM(B12:K12)</f>
        <v>804000.90097642248</v>
      </c>
    </row>
    <row r="13" spans="1:12" ht="15" customHeight="1" x14ac:dyDescent="0.25">
      <c r="A13" s="2" t="s">
        <v>90</v>
      </c>
      <c r="B13" s="14">
        <f t="shared" ref="B13:K13" si="2">B11-B12</f>
        <v>12805.926621866602</v>
      </c>
      <c r="C13" s="14">
        <f t="shared" si="2"/>
        <v>13705.286848520293</v>
      </c>
      <c r="D13" s="14">
        <f t="shared" si="2"/>
        <v>14667.809143891878</v>
      </c>
      <c r="E13" s="14">
        <f t="shared" si="2"/>
        <v>15697.929380067406</v>
      </c>
      <c r="F13" s="14">
        <f t="shared" si="2"/>
        <v>16800.394960429534</v>
      </c>
      <c r="G13" s="14">
        <f t="shared" si="2"/>
        <v>17980.286698500495</v>
      </c>
      <c r="H13" s="14">
        <f t="shared" si="2"/>
        <v>19243.042233336178</v>
      </c>
      <c r="I13" s="14">
        <f t="shared" si="2"/>
        <v>20594.481089383393</v>
      </c>
      <c r="J13" s="14">
        <f t="shared" si="2"/>
        <v>22040.831496290775</v>
      </c>
      <c r="K13" s="14">
        <f t="shared" si="2"/>
        <v>23588.759092275286</v>
      </c>
      <c r="L13" s="9">
        <f>SUM(B13:K13)</f>
        <v>177124.74756456184</v>
      </c>
    </row>
    <row r="14" spans="1:12" ht="15" customHeight="1" x14ac:dyDescent="0.25">
      <c r="A14" s="2" t="s">
        <v>179</v>
      </c>
      <c r="B14" s="9">
        <f t="shared" ref="B14:K14" si="3">B10-B13</f>
        <v>1201869.2582312138</v>
      </c>
      <c r="C14" s="9">
        <f t="shared" si="3"/>
        <v>1188163.9713826934</v>
      </c>
      <c r="D14" s="9">
        <f t="shared" si="3"/>
        <v>1173496.1622388016</v>
      </c>
      <c r="E14" s="9">
        <f t="shared" si="3"/>
        <v>1157798.2328587342</v>
      </c>
      <c r="F14" s="9">
        <f t="shared" si="3"/>
        <v>1140997.8378983047</v>
      </c>
      <c r="G14" s="9">
        <f t="shared" si="3"/>
        <v>1123017.5511998043</v>
      </c>
      <c r="H14" s="9">
        <f t="shared" si="3"/>
        <v>1103774.508966468</v>
      </c>
      <c r="I14" s="9">
        <f t="shared" si="3"/>
        <v>1083180.0278770847</v>
      </c>
      <c r="J14" s="9">
        <f t="shared" si="3"/>
        <v>1061139.1963807938</v>
      </c>
      <c r="K14" s="9">
        <f t="shared" si="3"/>
        <v>1037550.4372885185</v>
      </c>
    </row>
    <row r="15" spans="1:12" ht="15" customHeight="1" x14ac:dyDescent="0.25">
      <c r="A15" s="3" t="s">
        <v>180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4FFF6-32B7-4377-9603-E47DC994F39E}">
  <dimension ref="A1:Q37"/>
  <sheetViews>
    <sheetView showGridLines="0" topLeftCell="A11" workbookViewId="0">
      <selection activeCell="A13" sqref="A13"/>
    </sheetView>
  </sheetViews>
  <sheetFormatPr defaultRowHeight="15" x14ac:dyDescent="0.25"/>
  <cols>
    <col min="1" max="1" width="21.5703125" bestFit="1" customWidth="1"/>
    <col min="2" max="2" width="8.7109375" customWidth="1"/>
    <col min="3" max="3" width="15" customWidth="1"/>
    <col min="4" max="6" width="8.7109375" customWidth="1"/>
    <col min="7" max="16" width="10.140625" bestFit="1" customWidth="1"/>
    <col min="17" max="17" width="11.140625" bestFit="1" customWidth="1"/>
  </cols>
  <sheetData>
    <row r="1" spans="1:17" x14ac:dyDescent="0.25">
      <c r="A1" t="s">
        <v>189</v>
      </c>
    </row>
    <row r="2" spans="1:17" x14ac:dyDescent="0.25">
      <c r="A2" t="s">
        <v>190</v>
      </c>
    </row>
    <row r="4" spans="1:17" x14ac:dyDescent="0.25">
      <c r="A4" s="46" t="s">
        <v>58</v>
      </c>
    </row>
    <row r="5" spans="1:17" x14ac:dyDescent="0.25">
      <c r="A5" t="s">
        <v>191</v>
      </c>
      <c r="B5" s="47">
        <v>20</v>
      </c>
    </row>
    <row r="6" spans="1:17" x14ac:dyDescent="0.25">
      <c r="A6" t="s">
        <v>192</v>
      </c>
      <c r="B6" s="47">
        <v>500</v>
      </c>
    </row>
    <row r="7" spans="1:17" x14ac:dyDescent="0.25">
      <c r="A7" t="s">
        <v>193</v>
      </c>
      <c r="B7" s="47">
        <v>10</v>
      </c>
    </row>
    <row r="8" spans="1:17" x14ac:dyDescent="0.25">
      <c r="A8" t="s">
        <v>194</v>
      </c>
      <c r="B8" s="47">
        <v>0</v>
      </c>
    </row>
    <row r="9" spans="1:17" x14ac:dyDescent="0.25">
      <c r="A9" t="s">
        <v>195</v>
      </c>
      <c r="B9" s="47">
        <f>7412*12</f>
        <v>88944</v>
      </c>
    </row>
    <row r="11" spans="1:17" x14ac:dyDescent="0.25">
      <c r="G11" s="48">
        <v>1</v>
      </c>
      <c r="H11" s="48">
        <v>2</v>
      </c>
      <c r="I11" s="48">
        <v>3</v>
      </c>
      <c r="J11" s="48">
        <v>4</v>
      </c>
      <c r="K11" s="48">
        <v>5</v>
      </c>
      <c r="L11" s="48">
        <v>6</v>
      </c>
      <c r="M11" s="48">
        <v>7</v>
      </c>
      <c r="N11" s="48">
        <v>8</v>
      </c>
      <c r="O11" s="48">
        <v>9</v>
      </c>
      <c r="P11" s="48">
        <v>10</v>
      </c>
    </row>
    <row r="12" spans="1:17" ht="51" x14ac:dyDescent="0.25">
      <c r="A12" s="10" t="s">
        <v>196</v>
      </c>
      <c r="B12" s="10" t="s">
        <v>192</v>
      </c>
      <c r="C12" s="10" t="s">
        <v>197</v>
      </c>
      <c r="D12" s="10" t="s">
        <v>198</v>
      </c>
      <c r="E12" s="10" t="s">
        <v>199</v>
      </c>
      <c r="F12" s="10" t="s">
        <v>200</v>
      </c>
      <c r="G12" s="10" t="s">
        <v>70</v>
      </c>
      <c r="H12" s="10" t="s">
        <v>71</v>
      </c>
      <c r="I12" s="10" t="s">
        <v>72</v>
      </c>
      <c r="J12" s="10" t="s">
        <v>73</v>
      </c>
      <c r="K12" s="10" t="s">
        <v>74</v>
      </c>
      <c r="L12" s="10" t="s">
        <v>75</v>
      </c>
      <c r="M12" s="10" t="s">
        <v>76</v>
      </c>
      <c r="N12" s="10" t="s">
        <v>77</v>
      </c>
      <c r="O12" s="10" t="s">
        <v>78</v>
      </c>
      <c r="P12" s="10" t="s">
        <v>79</v>
      </c>
      <c r="Q12" s="10" t="s">
        <v>201</v>
      </c>
    </row>
    <row r="13" spans="1:17" x14ac:dyDescent="0.25">
      <c r="A13" s="62" t="s">
        <v>241</v>
      </c>
      <c r="B13" s="60">
        <v>450</v>
      </c>
      <c r="C13" s="60">
        <f t="shared" ref="C13:C32" si="0">B13*12</f>
        <v>5400</v>
      </c>
      <c r="D13" s="60">
        <f t="shared" ref="D13:D32" si="1">$B$7</f>
        <v>10</v>
      </c>
      <c r="E13" s="60">
        <f t="shared" ref="E13:E21" si="2">D13</f>
        <v>10</v>
      </c>
      <c r="F13" s="60">
        <f>B13</f>
        <v>450</v>
      </c>
      <c r="G13" s="60">
        <f>IF(G$11&lt;=$D13,$C13*(1+$B$8)^(G$11-1),0)</f>
        <v>5400</v>
      </c>
      <c r="H13" s="60">
        <f>IF(H$11&lt;=$D13,$C13*(1+$B$8)^(H$11-1),0)</f>
        <v>5400</v>
      </c>
      <c r="I13" s="60">
        <f t="shared" ref="G13:P32" si="3">IF(I$11&lt;=$D13,$C13*(1+$B$8)^(I$11-1),0)</f>
        <v>5400</v>
      </c>
      <c r="J13" s="60">
        <f t="shared" si="3"/>
        <v>5400</v>
      </c>
      <c r="K13" s="60">
        <f t="shared" si="3"/>
        <v>5400</v>
      </c>
      <c r="L13" s="60">
        <f t="shared" si="3"/>
        <v>5400</v>
      </c>
      <c r="M13" s="60">
        <f t="shared" si="3"/>
        <v>5400</v>
      </c>
      <c r="N13" s="60">
        <f t="shared" si="3"/>
        <v>5400</v>
      </c>
      <c r="O13" s="60">
        <f t="shared" si="3"/>
        <v>5400</v>
      </c>
      <c r="P13" s="60">
        <f t="shared" si="3"/>
        <v>5400</v>
      </c>
      <c r="Q13" s="60">
        <f t="shared" ref="Q13:Q21" si="4">SUM(G13:P13)</f>
        <v>54000</v>
      </c>
    </row>
    <row r="14" spans="1:17" x14ac:dyDescent="0.25">
      <c r="A14" s="62" t="s">
        <v>242</v>
      </c>
      <c r="B14" s="60">
        <v>400</v>
      </c>
      <c r="C14" s="60">
        <f t="shared" si="0"/>
        <v>4800</v>
      </c>
      <c r="D14" s="60">
        <f t="shared" si="1"/>
        <v>10</v>
      </c>
      <c r="E14" s="60">
        <f t="shared" si="2"/>
        <v>10</v>
      </c>
      <c r="F14" s="60">
        <f t="shared" ref="F14:F32" si="5">B14</f>
        <v>400</v>
      </c>
      <c r="G14" s="60">
        <f t="shared" si="3"/>
        <v>4800</v>
      </c>
      <c r="H14" s="60">
        <f t="shared" si="3"/>
        <v>4800</v>
      </c>
      <c r="I14" s="60">
        <f t="shared" si="3"/>
        <v>4800</v>
      </c>
      <c r="J14" s="60">
        <f t="shared" si="3"/>
        <v>4800</v>
      </c>
      <c r="K14" s="60">
        <f t="shared" si="3"/>
        <v>4800</v>
      </c>
      <c r="L14" s="60">
        <f t="shared" si="3"/>
        <v>4800</v>
      </c>
      <c r="M14" s="60">
        <f t="shared" si="3"/>
        <v>4800</v>
      </c>
      <c r="N14" s="60">
        <f t="shared" si="3"/>
        <v>4800</v>
      </c>
      <c r="O14" s="60">
        <f t="shared" si="3"/>
        <v>4800</v>
      </c>
      <c r="P14" s="60">
        <f t="shared" si="3"/>
        <v>4800</v>
      </c>
      <c r="Q14" s="60">
        <f t="shared" si="4"/>
        <v>48000</v>
      </c>
    </row>
    <row r="15" spans="1:17" x14ac:dyDescent="0.25">
      <c r="A15" s="62" t="s">
        <v>243</v>
      </c>
      <c r="B15" s="60">
        <v>400</v>
      </c>
      <c r="C15" s="60">
        <f t="shared" si="0"/>
        <v>4800</v>
      </c>
      <c r="D15" s="60">
        <f t="shared" si="1"/>
        <v>10</v>
      </c>
      <c r="E15" s="60">
        <f t="shared" si="2"/>
        <v>10</v>
      </c>
      <c r="F15" s="60">
        <f t="shared" si="5"/>
        <v>400</v>
      </c>
      <c r="G15" s="60">
        <f t="shared" si="3"/>
        <v>4800</v>
      </c>
      <c r="H15" s="60">
        <f t="shared" si="3"/>
        <v>4800</v>
      </c>
      <c r="I15" s="60">
        <f t="shared" si="3"/>
        <v>4800</v>
      </c>
      <c r="J15" s="60">
        <f t="shared" si="3"/>
        <v>4800</v>
      </c>
      <c r="K15" s="60">
        <f t="shared" si="3"/>
        <v>4800</v>
      </c>
      <c r="L15" s="60">
        <f t="shared" si="3"/>
        <v>4800</v>
      </c>
      <c r="M15" s="60">
        <f t="shared" si="3"/>
        <v>4800</v>
      </c>
      <c r="N15" s="60">
        <f t="shared" si="3"/>
        <v>4800</v>
      </c>
      <c r="O15" s="60">
        <f t="shared" si="3"/>
        <v>4800</v>
      </c>
      <c r="P15" s="60">
        <f t="shared" si="3"/>
        <v>4800</v>
      </c>
      <c r="Q15" s="60">
        <f t="shared" si="4"/>
        <v>48000</v>
      </c>
    </row>
    <row r="16" spans="1:17" x14ac:dyDescent="0.25">
      <c r="A16" s="62" t="s">
        <v>244</v>
      </c>
      <c r="B16" s="60">
        <v>400</v>
      </c>
      <c r="C16" s="60">
        <f t="shared" si="0"/>
        <v>4800</v>
      </c>
      <c r="D16" s="60">
        <f t="shared" si="1"/>
        <v>10</v>
      </c>
      <c r="E16" s="60">
        <f t="shared" si="2"/>
        <v>10</v>
      </c>
      <c r="F16" s="60">
        <f t="shared" si="5"/>
        <v>400</v>
      </c>
      <c r="G16" s="60">
        <f t="shared" si="3"/>
        <v>4800</v>
      </c>
      <c r="H16" s="60">
        <f t="shared" si="3"/>
        <v>4800</v>
      </c>
      <c r="I16" s="60">
        <f t="shared" si="3"/>
        <v>4800</v>
      </c>
      <c r="J16" s="60">
        <f t="shared" si="3"/>
        <v>4800</v>
      </c>
      <c r="K16" s="60">
        <f t="shared" si="3"/>
        <v>4800</v>
      </c>
      <c r="L16" s="60">
        <f t="shared" si="3"/>
        <v>4800</v>
      </c>
      <c r="M16" s="60">
        <f t="shared" si="3"/>
        <v>4800</v>
      </c>
      <c r="N16" s="60">
        <f t="shared" si="3"/>
        <v>4800</v>
      </c>
      <c r="O16" s="60">
        <f t="shared" si="3"/>
        <v>4800</v>
      </c>
      <c r="P16" s="60">
        <f t="shared" si="3"/>
        <v>4800</v>
      </c>
      <c r="Q16" s="60">
        <f t="shared" si="4"/>
        <v>48000</v>
      </c>
    </row>
    <row r="17" spans="1:17" x14ac:dyDescent="0.25">
      <c r="A17" s="62" t="s">
        <v>245</v>
      </c>
      <c r="B17" s="60">
        <v>350</v>
      </c>
      <c r="C17" s="60">
        <f t="shared" si="0"/>
        <v>4200</v>
      </c>
      <c r="D17" s="60">
        <f t="shared" si="1"/>
        <v>10</v>
      </c>
      <c r="E17" s="60">
        <f t="shared" si="2"/>
        <v>10</v>
      </c>
      <c r="F17" s="60">
        <f t="shared" si="5"/>
        <v>350</v>
      </c>
      <c r="G17" s="60">
        <f t="shared" si="3"/>
        <v>4200</v>
      </c>
      <c r="H17" s="60">
        <f t="shared" si="3"/>
        <v>4200</v>
      </c>
      <c r="I17" s="60">
        <f t="shared" si="3"/>
        <v>4200</v>
      </c>
      <c r="J17" s="60">
        <f t="shared" si="3"/>
        <v>4200</v>
      </c>
      <c r="K17" s="60">
        <f t="shared" si="3"/>
        <v>4200</v>
      </c>
      <c r="L17" s="60">
        <f t="shared" si="3"/>
        <v>4200</v>
      </c>
      <c r="M17" s="60">
        <f t="shared" si="3"/>
        <v>4200</v>
      </c>
      <c r="N17" s="60">
        <f t="shared" si="3"/>
        <v>4200</v>
      </c>
      <c r="O17" s="60">
        <f t="shared" si="3"/>
        <v>4200</v>
      </c>
      <c r="P17" s="60">
        <f t="shared" si="3"/>
        <v>4200</v>
      </c>
      <c r="Q17" s="60">
        <f t="shared" si="4"/>
        <v>42000</v>
      </c>
    </row>
    <row r="18" spans="1:17" x14ac:dyDescent="0.25">
      <c r="A18" s="62" t="s">
        <v>246</v>
      </c>
      <c r="B18" s="60">
        <v>400</v>
      </c>
      <c r="C18" s="60">
        <f t="shared" si="0"/>
        <v>4800</v>
      </c>
      <c r="D18" s="60">
        <f t="shared" si="1"/>
        <v>10</v>
      </c>
      <c r="E18" s="60">
        <f t="shared" si="2"/>
        <v>10</v>
      </c>
      <c r="F18" s="60">
        <f t="shared" si="5"/>
        <v>400</v>
      </c>
      <c r="G18" s="60">
        <f t="shared" si="3"/>
        <v>4800</v>
      </c>
      <c r="H18" s="60">
        <f t="shared" si="3"/>
        <v>4800</v>
      </c>
      <c r="I18" s="60">
        <f t="shared" si="3"/>
        <v>4800</v>
      </c>
      <c r="J18" s="60">
        <f t="shared" si="3"/>
        <v>4800</v>
      </c>
      <c r="K18" s="60">
        <f t="shared" si="3"/>
        <v>4800</v>
      </c>
      <c r="L18" s="60">
        <f t="shared" si="3"/>
        <v>4800</v>
      </c>
      <c r="M18" s="60">
        <f t="shared" si="3"/>
        <v>4800</v>
      </c>
      <c r="N18" s="60">
        <f t="shared" si="3"/>
        <v>4800</v>
      </c>
      <c r="O18" s="60">
        <f t="shared" si="3"/>
        <v>4800</v>
      </c>
      <c r="P18" s="60">
        <f t="shared" si="3"/>
        <v>4800</v>
      </c>
      <c r="Q18" s="60">
        <f t="shared" si="4"/>
        <v>48000</v>
      </c>
    </row>
    <row r="19" spans="1:17" x14ac:dyDescent="0.25">
      <c r="A19" s="62" t="s">
        <v>247</v>
      </c>
      <c r="B19" s="60">
        <v>525</v>
      </c>
      <c r="C19" s="60">
        <f t="shared" si="0"/>
        <v>6300</v>
      </c>
      <c r="D19" s="60">
        <f t="shared" si="1"/>
        <v>10</v>
      </c>
      <c r="E19" s="60">
        <f t="shared" si="2"/>
        <v>10</v>
      </c>
      <c r="F19" s="60">
        <f t="shared" si="5"/>
        <v>525</v>
      </c>
      <c r="G19" s="60">
        <f t="shared" si="3"/>
        <v>6300</v>
      </c>
      <c r="H19" s="60">
        <f t="shared" si="3"/>
        <v>6300</v>
      </c>
      <c r="I19" s="60">
        <f t="shared" si="3"/>
        <v>6300</v>
      </c>
      <c r="J19" s="60">
        <f t="shared" si="3"/>
        <v>6300</v>
      </c>
      <c r="K19" s="60">
        <f t="shared" si="3"/>
        <v>6300</v>
      </c>
      <c r="L19" s="60">
        <f t="shared" si="3"/>
        <v>6300</v>
      </c>
      <c r="M19" s="60">
        <f t="shared" si="3"/>
        <v>6300</v>
      </c>
      <c r="N19" s="60">
        <f t="shared" si="3"/>
        <v>6300</v>
      </c>
      <c r="O19" s="60">
        <f t="shared" si="3"/>
        <v>6300</v>
      </c>
      <c r="P19" s="60">
        <f t="shared" si="3"/>
        <v>6300</v>
      </c>
      <c r="Q19" s="60">
        <f t="shared" si="4"/>
        <v>63000</v>
      </c>
    </row>
    <row r="20" spans="1:17" x14ac:dyDescent="0.25">
      <c r="A20" s="62" t="s">
        <v>248</v>
      </c>
      <c r="B20" s="60">
        <v>350</v>
      </c>
      <c r="C20" s="60">
        <f t="shared" si="0"/>
        <v>4200</v>
      </c>
      <c r="D20" s="60">
        <f t="shared" si="1"/>
        <v>10</v>
      </c>
      <c r="E20" s="60">
        <f t="shared" si="2"/>
        <v>10</v>
      </c>
      <c r="F20" s="60">
        <f t="shared" si="5"/>
        <v>350</v>
      </c>
      <c r="G20" s="60">
        <f t="shared" si="3"/>
        <v>4200</v>
      </c>
      <c r="H20" s="60">
        <f t="shared" si="3"/>
        <v>4200</v>
      </c>
      <c r="I20" s="60">
        <f t="shared" si="3"/>
        <v>4200</v>
      </c>
      <c r="J20" s="60">
        <f t="shared" si="3"/>
        <v>4200</v>
      </c>
      <c r="K20" s="60">
        <f t="shared" si="3"/>
        <v>4200</v>
      </c>
      <c r="L20" s="60">
        <f t="shared" si="3"/>
        <v>4200</v>
      </c>
      <c r="M20" s="60">
        <f t="shared" si="3"/>
        <v>4200</v>
      </c>
      <c r="N20" s="60">
        <f t="shared" si="3"/>
        <v>4200</v>
      </c>
      <c r="O20" s="60">
        <f t="shared" si="3"/>
        <v>4200</v>
      </c>
      <c r="P20" s="60">
        <f t="shared" si="3"/>
        <v>4200</v>
      </c>
      <c r="Q20" s="60">
        <f t="shared" si="4"/>
        <v>42000</v>
      </c>
    </row>
    <row r="21" spans="1:17" x14ac:dyDescent="0.25">
      <c r="A21" s="62" t="s">
        <v>249</v>
      </c>
      <c r="B21" s="60">
        <v>400</v>
      </c>
      <c r="C21" s="60">
        <f t="shared" si="0"/>
        <v>4800</v>
      </c>
      <c r="D21" s="60">
        <f t="shared" si="1"/>
        <v>10</v>
      </c>
      <c r="E21" s="60">
        <f t="shared" si="2"/>
        <v>10</v>
      </c>
      <c r="F21" s="60">
        <f t="shared" si="5"/>
        <v>400</v>
      </c>
      <c r="G21" s="60">
        <f t="shared" si="3"/>
        <v>4800</v>
      </c>
      <c r="H21" s="60">
        <f t="shared" si="3"/>
        <v>4800</v>
      </c>
      <c r="I21" s="60">
        <f t="shared" si="3"/>
        <v>4800</v>
      </c>
      <c r="J21" s="60">
        <f t="shared" si="3"/>
        <v>4800</v>
      </c>
      <c r="K21" s="60">
        <f t="shared" si="3"/>
        <v>4800</v>
      </c>
      <c r="L21" s="60">
        <f t="shared" si="3"/>
        <v>4800</v>
      </c>
      <c r="M21" s="60">
        <f t="shared" si="3"/>
        <v>4800</v>
      </c>
      <c r="N21" s="60">
        <f t="shared" si="3"/>
        <v>4800</v>
      </c>
      <c r="O21" s="60">
        <f t="shared" si="3"/>
        <v>4800</v>
      </c>
      <c r="P21" s="60">
        <f t="shared" si="3"/>
        <v>4800</v>
      </c>
      <c r="Q21" s="60">
        <f t="shared" si="4"/>
        <v>48000</v>
      </c>
    </row>
    <row r="22" spans="1:17" x14ac:dyDescent="0.25">
      <c r="A22" s="62" t="s">
        <v>250</v>
      </c>
      <c r="B22" s="60">
        <v>400</v>
      </c>
      <c r="C22" s="60">
        <f t="shared" si="0"/>
        <v>4800</v>
      </c>
      <c r="D22" s="60">
        <f t="shared" si="1"/>
        <v>10</v>
      </c>
      <c r="E22" s="60">
        <f t="shared" ref="E22:E32" si="6">D22</f>
        <v>10</v>
      </c>
      <c r="F22" s="60">
        <f t="shared" si="5"/>
        <v>400</v>
      </c>
      <c r="G22" s="60">
        <f t="shared" si="3"/>
        <v>4800</v>
      </c>
      <c r="H22" s="60">
        <f t="shared" si="3"/>
        <v>4800</v>
      </c>
      <c r="I22" s="60">
        <f t="shared" si="3"/>
        <v>4800</v>
      </c>
      <c r="J22" s="60">
        <f t="shared" si="3"/>
        <v>4800</v>
      </c>
      <c r="K22" s="60">
        <f t="shared" si="3"/>
        <v>4800</v>
      </c>
      <c r="L22" s="60">
        <f t="shared" si="3"/>
        <v>4800</v>
      </c>
      <c r="M22" s="60">
        <f t="shared" si="3"/>
        <v>4800</v>
      </c>
      <c r="N22" s="60">
        <f t="shared" si="3"/>
        <v>4800</v>
      </c>
      <c r="O22" s="60">
        <f t="shared" si="3"/>
        <v>4800</v>
      </c>
      <c r="P22" s="60">
        <f t="shared" si="3"/>
        <v>4800</v>
      </c>
      <c r="Q22" s="60">
        <f t="shared" ref="Q22:Q32" si="7">SUM(G22:P22)</f>
        <v>48000</v>
      </c>
    </row>
    <row r="23" spans="1:17" x14ac:dyDescent="0.25">
      <c r="A23" s="62" t="s">
        <v>251</v>
      </c>
      <c r="B23" s="60">
        <v>300</v>
      </c>
      <c r="C23" s="60">
        <f t="shared" si="0"/>
        <v>3600</v>
      </c>
      <c r="D23" s="60">
        <f t="shared" si="1"/>
        <v>10</v>
      </c>
      <c r="E23" s="60">
        <f t="shared" si="6"/>
        <v>10</v>
      </c>
      <c r="F23" s="60">
        <f t="shared" si="5"/>
        <v>300</v>
      </c>
      <c r="G23" s="60">
        <f t="shared" si="3"/>
        <v>3600</v>
      </c>
      <c r="H23" s="60">
        <f t="shared" si="3"/>
        <v>3600</v>
      </c>
      <c r="I23" s="60">
        <f t="shared" si="3"/>
        <v>3600</v>
      </c>
      <c r="J23" s="60">
        <f t="shared" si="3"/>
        <v>3600</v>
      </c>
      <c r="K23" s="60">
        <f t="shared" si="3"/>
        <v>3600</v>
      </c>
      <c r="L23" s="60">
        <f t="shared" si="3"/>
        <v>3600</v>
      </c>
      <c r="M23" s="60">
        <f t="shared" si="3"/>
        <v>3600</v>
      </c>
      <c r="N23" s="60">
        <f t="shared" si="3"/>
        <v>3600</v>
      </c>
      <c r="O23" s="60">
        <f t="shared" si="3"/>
        <v>3600</v>
      </c>
      <c r="P23" s="60">
        <f t="shared" si="3"/>
        <v>3600</v>
      </c>
      <c r="Q23" s="60">
        <f t="shared" si="7"/>
        <v>36000</v>
      </c>
    </row>
    <row r="24" spans="1:17" x14ac:dyDescent="0.25">
      <c r="A24" s="62" t="s">
        <v>252</v>
      </c>
      <c r="B24" s="60">
        <v>400</v>
      </c>
      <c r="C24" s="60">
        <f t="shared" si="0"/>
        <v>4800</v>
      </c>
      <c r="D24" s="60">
        <f t="shared" si="1"/>
        <v>10</v>
      </c>
      <c r="E24" s="60">
        <f t="shared" si="6"/>
        <v>10</v>
      </c>
      <c r="F24" s="60">
        <f t="shared" si="5"/>
        <v>400</v>
      </c>
      <c r="G24" s="60">
        <f t="shared" si="3"/>
        <v>4800</v>
      </c>
      <c r="H24" s="60">
        <f t="shared" si="3"/>
        <v>4800</v>
      </c>
      <c r="I24" s="60">
        <f t="shared" si="3"/>
        <v>4800</v>
      </c>
      <c r="J24" s="60">
        <f t="shared" si="3"/>
        <v>4800</v>
      </c>
      <c r="K24" s="60">
        <f t="shared" si="3"/>
        <v>4800</v>
      </c>
      <c r="L24" s="60">
        <f t="shared" si="3"/>
        <v>4800</v>
      </c>
      <c r="M24" s="60">
        <f t="shared" si="3"/>
        <v>4800</v>
      </c>
      <c r="N24" s="60">
        <f t="shared" si="3"/>
        <v>4800</v>
      </c>
      <c r="O24" s="60">
        <f t="shared" si="3"/>
        <v>4800</v>
      </c>
      <c r="P24" s="60">
        <f t="shared" si="3"/>
        <v>4800</v>
      </c>
      <c r="Q24" s="60">
        <f t="shared" si="7"/>
        <v>48000</v>
      </c>
    </row>
    <row r="25" spans="1:17" x14ac:dyDescent="0.25">
      <c r="A25" s="62" t="s">
        <v>253</v>
      </c>
      <c r="B25" s="60">
        <v>400</v>
      </c>
      <c r="C25" s="60">
        <f t="shared" si="0"/>
        <v>4800</v>
      </c>
      <c r="D25" s="60">
        <f t="shared" si="1"/>
        <v>10</v>
      </c>
      <c r="E25" s="60">
        <f t="shared" si="6"/>
        <v>10</v>
      </c>
      <c r="F25" s="60">
        <f t="shared" si="5"/>
        <v>400</v>
      </c>
      <c r="G25" s="60">
        <f t="shared" si="3"/>
        <v>4800</v>
      </c>
      <c r="H25" s="60">
        <f t="shared" si="3"/>
        <v>4800</v>
      </c>
      <c r="I25" s="60">
        <f t="shared" si="3"/>
        <v>4800</v>
      </c>
      <c r="J25" s="60">
        <f t="shared" si="3"/>
        <v>4800</v>
      </c>
      <c r="K25" s="60">
        <f t="shared" si="3"/>
        <v>4800</v>
      </c>
      <c r="L25" s="60">
        <f t="shared" si="3"/>
        <v>4800</v>
      </c>
      <c r="M25" s="60">
        <f t="shared" si="3"/>
        <v>4800</v>
      </c>
      <c r="N25" s="60">
        <f t="shared" si="3"/>
        <v>4800</v>
      </c>
      <c r="O25" s="60">
        <f t="shared" si="3"/>
        <v>4800</v>
      </c>
      <c r="P25" s="60">
        <f t="shared" si="3"/>
        <v>4800</v>
      </c>
      <c r="Q25" s="60">
        <f t="shared" si="7"/>
        <v>48000</v>
      </c>
    </row>
    <row r="26" spans="1:17" x14ac:dyDescent="0.25">
      <c r="A26" s="62" t="s">
        <v>254</v>
      </c>
      <c r="B26" s="60">
        <v>400</v>
      </c>
      <c r="C26" s="60">
        <f t="shared" si="0"/>
        <v>4800</v>
      </c>
      <c r="D26" s="60">
        <f t="shared" si="1"/>
        <v>10</v>
      </c>
      <c r="E26" s="60">
        <f t="shared" si="6"/>
        <v>10</v>
      </c>
      <c r="F26" s="60">
        <f t="shared" si="5"/>
        <v>400</v>
      </c>
      <c r="G26" s="60">
        <f t="shared" si="3"/>
        <v>4800</v>
      </c>
      <c r="H26" s="60">
        <f t="shared" si="3"/>
        <v>4800</v>
      </c>
      <c r="I26" s="60">
        <f t="shared" si="3"/>
        <v>4800</v>
      </c>
      <c r="J26" s="60">
        <f t="shared" si="3"/>
        <v>4800</v>
      </c>
      <c r="K26" s="60">
        <f t="shared" si="3"/>
        <v>4800</v>
      </c>
      <c r="L26" s="60">
        <f t="shared" si="3"/>
        <v>4800</v>
      </c>
      <c r="M26" s="60">
        <f t="shared" si="3"/>
        <v>4800</v>
      </c>
      <c r="N26" s="60">
        <f t="shared" si="3"/>
        <v>4800</v>
      </c>
      <c r="O26" s="60">
        <f t="shared" si="3"/>
        <v>4800</v>
      </c>
      <c r="P26" s="60">
        <f t="shared" si="3"/>
        <v>4800</v>
      </c>
      <c r="Q26" s="60">
        <f t="shared" si="7"/>
        <v>48000</v>
      </c>
    </row>
    <row r="27" spans="1:17" x14ac:dyDescent="0.25">
      <c r="A27" s="62" t="s">
        <v>255</v>
      </c>
      <c r="B27" s="60">
        <v>345</v>
      </c>
      <c r="C27" s="60">
        <f t="shared" si="0"/>
        <v>4140</v>
      </c>
      <c r="D27" s="60">
        <f t="shared" si="1"/>
        <v>10</v>
      </c>
      <c r="E27" s="60">
        <f t="shared" si="6"/>
        <v>10</v>
      </c>
      <c r="F27" s="60">
        <f t="shared" si="5"/>
        <v>345</v>
      </c>
      <c r="G27" s="60">
        <f t="shared" si="3"/>
        <v>4140</v>
      </c>
      <c r="H27" s="60">
        <f t="shared" si="3"/>
        <v>4140</v>
      </c>
      <c r="I27" s="60">
        <f t="shared" si="3"/>
        <v>4140</v>
      </c>
      <c r="J27" s="60">
        <f t="shared" si="3"/>
        <v>4140</v>
      </c>
      <c r="K27" s="60">
        <f t="shared" si="3"/>
        <v>4140</v>
      </c>
      <c r="L27" s="60">
        <f t="shared" si="3"/>
        <v>4140</v>
      </c>
      <c r="M27" s="60">
        <f t="shared" si="3"/>
        <v>4140</v>
      </c>
      <c r="N27" s="60">
        <f t="shared" si="3"/>
        <v>4140</v>
      </c>
      <c r="O27" s="60">
        <f t="shared" si="3"/>
        <v>4140</v>
      </c>
      <c r="P27" s="60">
        <f t="shared" si="3"/>
        <v>4140</v>
      </c>
      <c r="Q27" s="60">
        <f t="shared" si="7"/>
        <v>41400</v>
      </c>
    </row>
    <row r="28" spans="1:17" x14ac:dyDescent="0.25">
      <c r="A28" s="62" t="s">
        <v>256</v>
      </c>
      <c r="B28" s="60">
        <v>296</v>
      </c>
      <c r="C28" s="60">
        <f t="shared" si="0"/>
        <v>3552</v>
      </c>
      <c r="D28" s="60">
        <f t="shared" si="1"/>
        <v>10</v>
      </c>
      <c r="E28" s="60">
        <f t="shared" si="6"/>
        <v>10</v>
      </c>
      <c r="F28" s="60">
        <f t="shared" si="5"/>
        <v>296</v>
      </c>
      <c r="G28" s="60">
        <f t="shared" si="3"/>
        <v>3552</v>
      </c>
      <c r="H28" s="60">
        <f t="shared" si="3"/>
        <v>3552</v>
      </c>
      <c r="I28" s="60">
        <f t="shared" si="3"/>
        <v>3552</v>
      </c>
      <c r="J28" s="60">
        <f t="shared" si="3"/>
        <v>3552</v>
      </c>
      <c r="K28" s="60">
        <f t="shared" si="3"/>
        <v>3552</v>
      </c>
      <c r="L28" s="60">
        <f t="shared" si="3"/>
        <v>3552</v>
      </c>
      <c r="M28" s="60">
        <f t="shared" si="3"/>
        <v>3552</v>
      </c>
      <c r="N28" s="60">
        <f t="shared" si="3"/>
        <v>3552</v>
      </c>
      <c r="O28" s="60">
        <f t="shared" si="3"/>
        <v>3552</v>
      </c>
      <c r="P28" s="60">
        <f t="shared" si="3"/>
        <v>3552</v>
      </c>
      <c r="Q28" s="60">
        <f t="shared" si="7"/>
        <v>35520</v>
      </c>
    </row>
    <row r="29" spans="1:17" x14ac:dyDescent="0.25">
      <c r="A29" s="62" t="s">
        <v>257</v>
      </c>
      <c r="B29" s="60">
        <v>250</v>
      </c>
      <c r="C29" s="60">
        <f t="shared" si="0"/>
        <v>3000</v>
      </c>
      <c r="D29" s="60">
        <f t="shared" si="1"/>
        <v>10</v>
      </c>
      <c r="E29" s="60">
        <f t="shared" si="6"/>
        <v>10</v>
      </c>
      <c r="F29" s="60">
        <f t="shared" si="5"/>
        <v>250</v>
      </c>
      <c r="G29" s="60">
        <f t="shared" si="3"/>
        <v>3000</v>
      </c>
      <c r="H29" s="60">
        <f t="shared" si="3"/>
        <v>3000</v>
      </c>
      <c r="I29" s="60">
        <f t="shared" si="3"/>
        <v>3000</v>
      </c>
      <c r="J29" s="60">
        <f t="shared" si="3"/>
        <v>3000</v>
      </c>
      <c r="K29" s="60">
        <f t="shared" si="3"/>
        <v>3000</v>
      </c>
      <c r="L29" s="60">
        <f t="shared" si="3"/>
        <v>3000</v>
      </c>
      <c r="M29" s="60">
        <f t="shared" si="3"/>
        <v>3000</v>
      </c>
      <c r="N29" s="60">
        <f t="shared" si="3"/>
        <v>3000</v>
      </c>
      <c r="O29" s="60">
        <f t="shared" si="3"/>
        <v>3000</v>
      </c>
      <c r="P29" s="60">
        <f t="shared" si="3"/>
        <v>3000</v>
      </c>
      <c r="Q29" s="60">
        <f t="shared" si="7"/>
        <v>30000</v>
      </c>
    </row>
    <row r="30" spans="1:17" x14ac:dyDescent="0.25">
      <c r="A30" s="62" t="s">
        <v>258</v>
      </c>
      <c r="B30" s="60">
        <v>400</v>
      </c>
      <c r="C30" s="60">
        <f t="shared" si="0"/>
        <v>4800</v>
      </c>
      <c r="D30" s="60">
        <f t="shared" si="1"/>
        <v>10</v>
      </c>
      <c r="E30" s="60">
        <f t="shared" si="6"/>
        <v>10</v>
      </c>
      <c r="F30" s="60">
        <f t="shared" si="5"/>
        <v>400</v>
      </c>
      <c r="G30" s="60">
        <f t="shared" si="3"/>
        <v>4800</v>
      </c>
      <c r="H30" s="60">
        <f t="shared" si="3"/>
        <v>4800</v>
      </c>
      <c r="I30" s="60">
        <f t="shared" si="3"/>
        <v>4800</v>
      </c>
      <c r="J30" s="60">
        <f t="shared" si="3"/>
        <v>4800</v>
      </c>
      <c r="K30" s="60">
        <f t="shared" si="3"/>
        <v>4800</v>
      </c>
      <c r="L30" s="60">
        <f t="shared" si="3"/>
        <v>4800</v>
      </c>
      <c r="M30" s="60">
        <f t="shared" si="3"/>
        <v>4800</v>
      </c>
      <c r="N30" s="60">
        <f t="shared" si="3"/>
        <v>4800</v>
      </c>
      <c r="O30" s="60">
        <f t="shared" si="3"/>
        <v>4800</v>
      </c>
      <c r="P30" s="60">
        <f t="shared" si="3"/>
        <v>4800</v>
      </c>
      <c r="Q30" s="60">
        <f t="shared" si="7"/>
        <v>48000</v>
      </c>
    </row>
    <row r="31" spans="1:17" x14ac:dyDescent="0.25">
      <c r="A31" s="62" t="s">
        <v>259</v>
      </c>
      <c r="B31" s="60">
        <v>250</v>
      </c>
      <c r="C31" s="60">
        <f t="shared" si="0"/>
        <v>3000</v>
      </c>
      <c r="D31" s="60">
        <f t="shared" si="1"/>
        <v>10</v>
      </c>
      <c r="E31" s="60">
        <f t="shared" si="6"/>
        <v>10</v>
      </c>
      <c r="F31" s="60">
        <f t="shared" si="5"/>
        <v>250</v>
      </c>
      <c r="G31" s="60">
        <f t="shared" si="3"/>
        <v>3000</v>
      </c>
      <c r="H31" s="60">
        <f t="shared" si="3"/>
        <v>3000</v>
      </c>
      <c r="I31" s="60">
        <f t="shared" si="3"/>
        <v>3000</v>
      </c>
      <c r="J31" s="60">
        <f t="shared" si="3"/>
        <v>3000</v>
      </c>
      <c r="K31" s="60">
        <f t="shared" si="3"/>
        <v>3000</v>
      </c>
      <c r="L31" s="60">
        <f t="shared" si="3"/>
        <v>3000</v>
      </c>
      <c r="M31" s="60">
        <f t="shared" si="3"/>
        <v>3000</v>
      </c>
      <c r="N31" s="60">
        <f t="shared" si="3"/>
        <v>3000</v>
      </c>
      <c r="O31" s="60">
        <f t="shared" si="3"/>
        <v>3000</v>
      </c>
      <c r="P31" s="60">
        <f t="shared" si="3"/>
        <v>3000</v>
      </c>
      <c r="Q31" s="60">
        <f t="shared" si="7"/>
        <v>30000</v>
      </c>
    </row>
    <row r="32" spans="1:17" x14ac:dyDescent="0.25">
      <c r="A32" s="62" t="s">
        <v>260</v>
      </c>
      <c r="B32" s="60">
        <v>296</v>
      </c>
      <c r="C32" s="60">
        <f t="shared" si="0"/>
        <v>3552</v>
      </c>
      <c r="D32" s="60">
        <f t="shared" si="1"/>
        <v>10</v>
      </c>
      <c r="E32" s="60">
        <f t="shared" si="6"/>
        <v>10</v>
      </c>
      <c r="F32" s="60">
        <f t="shared" si="5"/>
        <v>296</v>
      </c>
      <c r="G32" s="60">
        <f t="shared" si="3"/>
        <v>3552</v>
      </c>
      <c r="H32" s="60">
        <f t="shared" si="3"/>
        <v>3552</v>
      </c>
      <c r="I32" s="60">
        <f t="shared" si="3"/>
        <v>3552</v>
      </c>
      <c r="J32" s="60">
        <f t="shared" si="3"/>
        <v>3552</v>
      </c>
      <c r="K32" s="60">
        <f t="shared" si="3"/>
        <v>3552</v>
      </c>
      <c r="L32" s="60">
        <f t="shared" si="3"/>
        <v>3552</v>
      </c>
      <c r="M32" s="60">
        <f t="shared" si="3"/>
        <v>3552</v>
      </c>
      <c r="N32" s="60">
        <f t="shared" si="3"/>
        <v>3552</v>
      </c>
      <c r="O32" s="60">
        <f t="shared" si="3"/>
        <v>3552</v>
      </c>
      <c r="P32" s="60">
        <f t="shared" si="3"/>
        <v>3552</v>
      </c>
      <c r="Q32" s="60">
        <f t="shared" si="7"/>
        <v>35520</v>
      </c>
    </row>
    <row r="33" spans="1:17" x14ac:dyDescent="0.25">
      <c r="A33" t="s">
        <v>202</v>
      </c>
      <c r="B33" s="49"/>
      <c r="C33" s="63">
        <f>SUM(C13:C32)</f>
        <v>88944</v>
      </c>
      <c r="F33" s="61">
        <f t="shared" ref="F33:Q33" si="8">SUM(F13:F32)</f>
        <v>7412</v>
      </c>
      <c r="G33" s="61">
        <f t="shared" si="8"/>
        <v>88944</v>
      </c>
      <c r="H33" s="61">
        <f t="shared" si="8"/>
        <v>88944</v>
      </c>
      <c r="I33" s="61">
        <f t="shared" si="8"/>
        <v>88944</v>
      </c>
      <c r="J33" s="61">
        <f t="shared" si="8"/>
        <v>88944</v>
      </c>
      <c r="K33" s="61">
        <f t="shared" si="8"/>
        <v>88944</v>
      </c>
      <c r="L33" s="61">
        <f t="shared" si="8"/>
        <v>88944</v>
      </c>
      <c r="M33" s="61">
        <f t="shared" si="8"/>
        <v>88944</v>
      </c>
      <c r="N33" s="61">
        <f t="shared" si="8"/>
        <v>88944</v>
      </c>
      <c r="O33" s="61">
        <f t="shared" si="8"/>
        <v>88944</v>
      </c>
      <c r="P33" s="61">
        <f t="shared" si="8"/>
        <v>88944</v>
      </c>
      <c r="Q33" s="61">
        <f t="shared" si="8"/>
        <v>889440</v>
      </c>
    </row>
    <row r="34" spans="1:17" x14ac:dyDescent="0.25">
      <c r="A34" t="s">
        <v>203</v>
      </c>
    </row>
    <row r="36" spans="1:17" x14ac:dyDescent="0.25">
      <c r="A36" t="s">
        <v>204</v>
      </c>
    </row>
    <row r="37" spans="1:17" x14ac:dyDescent="0.25">
      <c r="A37" t="s">
        <v>69</v>
      </c>
      <c r="B37" t="s">
        <v>70</v>
      </c>
      <c r="C37" t="s">
        <v>71</v>
      </c>
      <c r="D37" t="s">
        <v>72</v>
      </c>
      <c r="E37" t="s">
        <v>73</v>
      </c>
      <c r="F37" t="s">
        <v>74</v>
      </c>
      <c r="G37" t="s">
        <v>75</v>
      </c>
      <c r="H37" t="s">
        <v>76</v>
      </c>
      <c r="I37" t="s">
        <v>77</v>
      </c>
      <c r="J37" t="s">
        <v>78</v>
      </c>
      <c r="K37" t="s">
        <v>79</v>
      </c>
      <c r="L37">
        <f>P33</f>
        <v>88944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3"/>
  <sheetViews>
    <sheetView showGridLines="0" workbookViewId="0">
      <selection activeCell="D6" sqref="D6"/>
    </sheetView>
  </sheetViews>
  <sheetFormatPr defaultRowHeight="15" x14ac:dyDescent="0.25"/>
  <cols>
    <col min="1" max="1" width="25.7109375" customWidth="1"/>
    <col min="2" max="2" width="33.85546875" bestFit="1" customWidth="1"/>
    <col min="3" max="3" width="15.7109375" customWidth="1"/>
    <col min="4" max="4" width="20.7109375" bestFit="1" customWidth="1"/>
    <col min="5" max="5" width="10.7109375" customWidth="1"/>
    <col min="6" max="6" width="19" customWidth="1"/>
    <col min="7" max="7" width="18.7109375" bestFit="1" customWidth="1"/>
    <col min="8" max="8" width="8.7109375" customWidth="1"/>
  </cols>
  <sheetData>
    <row r="1" spans="1:9" ht="24.95" customHeight="1" x14ac:dyDescent="0.35">
      <c r="A1" s="73" t="s">
        <v>181</v>
      </c>
      <c r="B1" s="74"/>
    </row>
    <row r="2" spans="1:9" ht="18" customHeight="1" x14ac:dyDescent="0.25"/>
    <row r="3" spans="1:9" ht="14.1" customHeight="1" x14ac:dyDescent="0.25">
      <c r="A3" s="75" t="s">
        <v>276</v>
      </c>
      <c r="D3" s="75" t="s">
        <v>183</v>
      </c>
      <c r="E3" s="37" t="s">
        <v>263</v>
      </c>
      <c r="F3" s="79" t="s">
        <v>271</v>
      </c>
      <c r="G3" s="79" t="s">
        <v>184</v>
      </c>
      <c r="H3" s="36" t="s">
        <v>185</v>
      </c>
      <c r="I3" s="36" t="s">
        <v>277</v>
      </c>
    </row>
    <row r="4" spans="1:9" ht="14.1" customHeight="1" x14ac:dyDescent="0.25">
      <c r="A4" s="64" t="s">
        <v>264</v>
      </c>
      <c r="B4" s="65" t="s">
        <v>284</v>
      </c>
      <c r="D4" s="67" t="s">
        <v>286</v>
      </c>
      <c r="E4" s="76">
        <v>8.1</v>
      </c>
      <c r="F4" s="68">
        <v>86420</v>
      </c>
      <c r="G4" s="68">
        <v>2892.6</v>
      </c>
      <c r="H4" s="80">
        <f t="shared" ref="H4:H9" si="0">G4/F4</f>
        <v>3.3471418653089564E-2</v>
      </c>
      <c r="I4" s="68" t="s">
        <v>273</v>
      </c>
    </row>
    <row r="5" spans="1:9" ht="14.1" customHeight="1" x14ac:dyDescent="0.25">
      <c r="A5" s="64" t="s">
        <v>182</v>
      </c>
      <c r="B5" s="65" t="s">
        <v>268</v>
      </c>
      <c r="D5" s="67" t="s">
        <v>286</v>
      </c>
      <c r="E5" s="76"/>
      <c r="F5" s="68">
        <v>97380</v>
      </c>
      <c r="G5" s="68">
        <v>2921.4</v>
      </c>
      <c r="H5" s="80">
        <f t="shared" si="0"/>
        <v>3.0000000000000002E-2</v>
      </c>
      <c r="I5" s="68" t="s">
        <v>273</v>
      </c>
    </row>
    <row r="6" spans="1:9" ht="14.1" customHeight="1" x14ac:dyDescent="0.25">
      <c r="A6" s="64" t="s">
        <v>186</v>
      </c>
      <c r="B6" s="65" t="s">
        <v>265</v>
      </c>
      <c r="D6" s="67" t="s">
        <v>286</v>
      </c>
      <c r="E6" s="76">
        <v>8.1</v>
      </c>
      <c r="F6" s="68">
        <v>99940</v>
      </c>
      <c r="G6" s="68">
        <v>2998.2</v>
      </c>
      <c r="H6" s="80">
        <f t="shared" si="0"/>
        <v>0.03</v>
      </c>
      <c r="I6" s="68" t="s">
        <v>273</v>
      </c>
    </row>
    <row r="7" spans="1:9" ht="14.1" customHeight="1" x14ac:dyDescent="0.25">
      <c r="A7" s="64" t="s">
        <v>266</v>
      </c>
      <c r="B7" s="65" t="s">
        <v>267</v>
      </c>
      <c r="D7" s="67" t="s">
        <v>286</v>
      </c>
      <c r="E7" s="76">
        <v>0.6</v>
      </c>
      <c r="F7" s="68">
        <v>35740</v>
      </c>
      <c r="G7" s="68">
        <v>1072.2</v>
      </c>
      <c r="H7" s="80">
        <f t="shared" si="0"/>
        <v>3.0000000000000002E-2</v>
      </c>
      <c r="I7" s="68" t="s">
        <v>273</v>
      </c>
    </row>
    <row r="8" spans="1:9" x14ac:dyDescent="0.25">
      <c r="A8" s="64" t="s">
        <v>187</v>
      </c>
      <c r="B8" s="66" t="s">
        <v>283</v>
      </c>
      <c r="D8" s="67" t="s">
        <v>286</v>
      </c>
      <c r="E8" s="76">
        <v>0.6</v>
      </c>
      <c r="F8" s="68">
        <v>2760</v>
      </c>
      <c r="G8" s="68">
        <v>82.8</v>
      </c>
      <c r="H8" s="80">
        <f t="shared" si="0"/>
        <v>0.03</v>
      </c>
      <c r="I8" s="68" t="s">
        <v>273</v>
      </c>
    </row>
    <row r="9" spans="1:9" ht="15.75" thickBot="1" x14ac:dyDescent="0.3">
      <c r="A9" s="64" t="s">
        <v>269</v>
      </c>
      <c r="B9" s="87" t="s">
        <v>274</v>
      </c>
      <c r="C9" s="70" t="s">
        <v>275</v>
      </c>
      <c r="D9" s="67" t="s">
        <v>286</v>
      </c>
      <c r="E9" s="77">
        <v>2.97</v>
      </c>
      <c r="F9" s="69">
        <v>28120</v>
      </c>
      <c r="G9" s="69">
        <v>843.6</v>
      </c>
      <c r="H9" s="81">
        <f t="shared" si="0"/>
        <v>3.0000000000000002E-2</v>
      </c>
      <c r="I9" s="69" t="s">
        <v>273</v>
      </c>
    </row>
    <row r="10" spans="1:9" ht="15.75" thickBot="1" x14ac:dyDescent="0.3">
      <c r="A10" s="64" t="s">
        <v>270</v>
      </c>
      <c r="B10" s="87" t="s">
        <v>285</v>
      </c>
      <c r="C10" s="70" t="s">
        <v>275</v>
      </c>
      <c r="D10" s="71" t="s">
        <v>272</v>
      </c>
      <c r="E10" s="78">
        <f>SUM(E4:E9)</f>
        <v>20.37</v>
      </c>
      <c r="F10" s="72">
        <f>SUM(F4:F9)</f>
        <v>350360</v>
      </c>
      <c r="G10" s="72">
        <f>SUM(G4:G9)</f>
        <v>10810.800000000001</v>
      </c>
      <c r="H10" s="71"/>
      <c r="I10" s="72"/>
    </row>
    <row r="13" spans="1:9" x14ac:dyDescent="0.25">
      <c r="B13" s="82"/>
    </row>
  </sheetData>
  <hyperlinks>
    <hyperlink ref="B9" r:id="rId1" xr:uid="{37F000E8-3195-44CE-A9ED-737BF7EE4D7F}"/>
    <hyperlink ref="B10" r:id="rId2" xr:uid="{5CCEF2D5-70B4-4382-9F6D-170954577E7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Assumption</vt:lpstr>
      <vt:lpstr>BOV </vt:lpstr>
      <vt:lpstr>Land</vt:lpstr>
      <vt:lpstr>POH </vt:lpstr>
      <vt:lpstr>Cash Flow Model</vt:lpstr>
      <vt:lpstr>IRR by Exit Year Analysis</vt:lpstr>
      <vt:lpstr>Loan Amortization </vt:lpstr>
      <vt:lpstr>RTO</vt:lpstr>
      <vt:lpstr>Property Tax Working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 COMPUTER</cp:lastModifiedBy>
  <cp:revision>0</cp:revision>
  <dcterms:created xsi:type="dcterms:W3CDTF">2026-10-07T07:47:00Z</dcterms:created>
  <dcterms:modified xsi:type="dcterms:W3CDTF">2026-10-08T13:36:40Z</dcterms:modified>
  <dc:language>en-US</dc:language>
</cp:coreProperties>
</file>